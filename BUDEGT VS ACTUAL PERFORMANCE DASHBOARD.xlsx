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d2e15415e9f29bc2/Desktop/EXCEL/"/>
    </mc:Choice>
  </mc:AlternateContent>
  <xr:revisionPtr revIDLastSave="28" documentId="8_{0E083E17-9AB0-4F3D-A981-62AE32A2B069}" xr6:coauthVersionLast="47" xr6:coauthVersionMax="47" xr10:uidLastSave="{59C5B82B-C11E-468C-92AF-D688673229C4}"/>
  <bookViews>
    <workbookView xWindow="-120" yWindow="-120" windowWidth="20730" windowHeight="11040" xr2:uid="{704FDA55-EFB5-40C7-B10E-F65FB63C4865}"/>
  </bookViews>
  <sheets>
    <sheet name="Working sheet" sheetId="1" r:id="rId1"/>
    <sheet name="Pivot Table" sheetId="2" r:id="rId2"/>
    <sheet name="Dashboard" sheetId="3" r:id="rId3"/>
  </sheets>
  <definedNames>
    <definedName name="_xlnm._FilterDatabase" localSheetId="0" hidden="1">'Working sheet'!$A$1:$J$1</definedName>
    <definedName name="Slicer_Department">#N/A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D62" i="1"/>
  <c r="E62" i="1"/>
  <c r="F62" i="1"/>
  <c r="G62" i="1"/>
  <c r="H62" i="1"/>
  <c r="C62" i="1"/>
  <c r="J62" i="1" l="1"/>
</calcChain>
</file>

<file path=xl/sharedStrings.xml><?xml version="1.0" encoding="utf-8"?>
<sst xmlns="http://schemas.openxmlformats.org/spreadsheetml/2006/main" count="189" uniqueCount="39">
  <si>
    <t>Month</t>
  </si>
  <si>
    <t>Department</t>
  </si>
  <si>
    <t>Budget Revenue</t>
  </si>
  <si>
    <t>Actual Revenue</t>
  </si>
  <si>
    <t>Budget Expense</t>
  </si>
  <si>
    <t>Actual Expense</t>
  </si>
  <si>
    <t>Budget Profit</t>
  </si>
  <si>
    <t>Actual Profit</t>
  </si>
  <si>
    <t>Variance Profit</t>
  </si>
  <si>
    <t>Variance %</t>
  </si>
  <si>
    <t>Jan</t>
  </si>
  <si>
    <t>Sales</t>
  </si>
  <si>
    <t>Marketing</t>
  </si>
  <si>
    <t>Operations</t>
  </si>
  <si>
    <t>HR</t>
  </si>
  <si>
    <t>Finance</t>
  </si>
  <si>
    <t>Feb</t>
  </si>
  <si>
    <t>Mar</t>
  </si>
  <si>
    <t>Apr</t>
  </si>
  <si>
    <t>May</t>
  </si>
  <si>
    <t>Jun</t>
  </si>
  <si>
    <t>Jul</t>
  </si>
  <si>
    <t>Aug</t>
  </si>
  <si>
    <t>Sep</t>
  </si>
  <si>
    <t>Oct</t>
  </si>
  <si>
    <t>Nov</t>
  </si>
  <si>
    <t>Dec</t>
  </si>
  <si>
    <t>Row Labels</t>
  </si>
  <si>
    <t>Grand Total</t>
  </si>
  <si>
    <t>Sum of Budget Revenue</t>
  </si>
  <si>
    <t>Sum of Actual Revenue</t>
  </si>
  <si>
    <t>Sum of Budget Expense</t>
  </si>
  <si>
    <t>Sum of Actual Expense</t>
  </si>
  <si>
    <t>Sum of Budget Profit</t>
  </si>
  <si>
    <t>Sum of Actual Profit</t>
  </si>
  <si>
    <t>Column Labels</t>
  </si>
  <si>
    <t>Sum of Variance Profit</t>
  </si>
  <si>
    <t>Sum of Variance %</t>
  </si>
  <si>
    <t>BUDGET VS ACTUAL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</si>
</sst>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F800]dddd\,\ mmmm\ dd\,\ yyyy"/>
    <numFmt numFmtId="168" formatCode="_ [$₹-4009]\ * #,##0_ ;_ [$₹-4009]\ * \-#,##0_ ;_ [$₹-4009]\ * &quot;-&quot;??_ ;_ @_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Calibri"/>
    </font>
    <font>
      <b/>
      <sz val="48"/>
      <color theme="1"/>
      <name val="Aptos Black"/>
      <family val="2"/>
    </font>
  </fonts>
  <fills count="5">
    <fill>
      <patternFill patternType="none"/>
    </fill>
    <fill>
      <patternFill patternType="gray125"/>
    </fill>
    <fill>
      <patternFill patternType="solid">
        <fgColor theme="3" tint="0.749992370372631"/>
        <bgColor indexed="64"/>
      </patternFill>
    </fill>
    <fill>
      <patternFill patternType="solid">
        <fgColor theme="8"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0" fontId="0" fillId="0" borderId="1" xfId="0" applyBorder="1" applyAlignment="1">
      <alignment horizontal="center"/>
    </xf>
    <xf numFmtId="0" fontId="4" fillId="2" borderId="1" xfId="0" applyFont="1" applyFill="1" applyBorder="1" applyAlignment="1">
      <alignment horizontal="center" vertical="center"/>
    </xf>
    <xf numFmtId="165" fontId="3" fillId="3" borderId="1" xfId="0" applyNumberFormat="1" applyFont="1" applyFill="1" applyBorder="1"/>
    <xf numFmtId="0" fontId="3" fillId="3" borderId="1" xfId="0" applyFont="1" applyFill="1" applyBorder="1"/>
    <xf numFmtId="164" fontId="3" fillId="3" borderId="1" xfId="0" applyNumberFormat="1" applyFont="1" applyFill="1" applyBorder="1"/>
    <xf numFmtId="165" fontId="0" fillId="4" borderId="1" xfId="0" applyNumberFormat="1" applyFill="1" applyBorder="1"/>
    <xf numFmtId="0" fontId="0" fillId="4" borderId="1" xfId="0" applyFill="1" applyBorder="1"/>
    <xf numFmtId="164" fontId="0" fillId="4" borderId="1" xfId="0" applyNumberFormat="1" applyFill="1" applyBorder="1"/>
    <xf numFmtId="10" fontId="0" fillId="4" borderId="1" xfId="0" applyNumberFormat="1" applyFill="1" applyBorder="1"/>
    <xf numFmtId="164" fontId="2" fillId="4" borderId="1" xfId="0" applyNumberFormat="1" applyFont="1" applyFill="1" applyBorder="1" applyAlignment="1">
      <alignment horizontal="center"/>
    </xf>
    <xf numFmtId="164" fontId="0" fillId="4" borderId="1" xfId="0" quotePrefix="1" applyNumberFormat="1" applyFill="1" applyBorder="1"/>
    <xf numFmtId="9" fontId="0" fillId="4" borderId="1" xfId="1" quotePrefix="1" applyFont="1" applyFill="1" applyBorder="1"/>
    <xf numFmtId="0" fontId="0" fillId="0" borderId="0" xfId="0" applyNumberFormat="1"/>
    <xf numFmtId="168" fontId="3" fillId="3" borderId="1" xfId="0" applyNumberFormat="1" applyFont="1" applyFill="1" applyBorder="1"/>
    <xf numFmtId="168" fontId="0" fillId="4" borderId="1" xfId="0" applyNumberFormat="1" applyFill="1" applyBorder="1"/>
    <xf numFmtId="168" fontId="0" fillId="4" borderId="1" xfId="0" quotePrefix="1" applyNumberFormat="1" applyFill="1" applyBorder="1"/>
    <xf numFmtId="168" fontId="0" fillId="0" borderId="0" xfId="0" applyNumberFormat="1"/>
  </cellXfs>
  <cellStyles count="2">
    <cellStyle name="Normal" xfId="0" builtinId="0"/>
    <cellStyle name="Percent" xfId="1" builtinId="5"/>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[BUDEGT VS ACTUAL PERFORMANCE DASHBOARD.xlsx]Pivot Table!PivotTable2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Sum of Budget Expense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Table'!$A$12:$A$17</c:f>
              <c:strCache>
                <c:ptCount val="5"/>
                <c:pt idx="0">
                  <c:v>Finance</c:v>
                </c:pt>
                <c:pt idx="1">
                  <c:v>HR</c:v>
                </c:pt>
                <c:pt idx="2">
                  <c:v>Marketing</c:v>
                </c:pt>
                <c:pt idx="3">
                  <c:v>Operations</c:v>
                </c:pt>
                <c:pt idx="4">
                  <c:v>Sales</c:v>
                </c:pt>
              </c:strCache>
            </c:strRef>
          </c:cat>
          <c:val>
            <c:numRef>
              <c:f>'Pivot Table'!$B$12:$B$17</c:f>
              <c:numCache>
                <c:formatCode>General</c:formatCode>
                <c:ptCount val="5"/>
                <c:pt idx="0">
                  <c:v>5924160.0000000009</c:v>
                </c:pt>
                <c:pt idx="1">
                  <c:v>5597760.0000000009</c:v>
                </c:pt>
                <c:pt idx="2">
                  <c:v>4944960</c:v>
                </c:pt>
                <c:pt idx="3">
                  <c:v>5271360</c:v>
                </c:pt>
                <c:pt idx="4">
                  <c:v>4618560</c:v>
                </c:pt>
              </c:numCache>
            </c:numRef>
          </c:val>
          <c:extLst>
            <c:ext xmlns:c16="http://schemas.microsoft.com/office/drawing/2014/chart" uri="{C3380CC4-5D6E-409C-BE32-E72D297353CC}">
              <c16:uniqueId val="{00000000-91B7-440F-847F-2C7F139B82BE}"/>
            </c:ext>
          </c:extLst>
        </c:ser>
        <c:ser>
          <c:idx val="1"/>
          <c:order val="1"/>
          <c:tx>
            <c:strRef>
              <c:f>'Pivot Table'!$C$11</c:f>
              <c:strCache>
                <c:ptCount val="1"/>
                <c:pt idx="0">
                  <c:v>Sum of Actual Expense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Table'!$A$12:$A$17</c:f>
              <c:strCache>
                <c:ptCount val="5"/>
                <c:pt idx="0">
                  <c:v>Finance</c:v>
                </c:pt>
                <c:pt idx="1">
                  <c:v>HR</c:v>
                </c:pt>
                <c:pt idx="2">
                  <c:v>Marketing</c:v>
                </c:pt>
                <c:pt idx="3">
                  <c:v>Operations</c:v>
                </c:pt>
                <c:pt idx="4">
                  <c:v>Sales</c:v>
                </c:pt>
              </c:strCache>
            </c:strRef>
          </c:cat>
          <c:val>
            <c:numRef>
              <c:f>'Pivot Table'!$C$12:$C$17</c:f>
              <c:numCache>
                <c:formatCode>General</c:formatCode>
                <c:ptCount val="5"/>
                <c:pt idx="0">
                  <c:v>5906160.0000000009</c:v>
                </c:pt>
                <c:pt idx="1">
                  <c:v>5495760.0000000009</c:v>
                </c:pt>
                <c:pt idx="2">
                  <c:v>4926960</c:v>
                </c:pt>
                <c:pt idx="3">
                  <c:v>5337360</c:v>
                </c:pt>
                <c:pt idx="4">
                  <c:v>4516560</c:v>
                </c:pt>
              </c:numCache>
            </c:numRef>
          </c:val>
          <c:extLst>
            <c:ext xmlns:c16="http://schemas.microsoft.com/office/drawing/2014/chart" uri="{C3380CC4-5D6E-409C-BE32-E72D297353CC}">
              <c16:uniqueId val="{00000001-91B7-440F-847F-2C7F139B82BE}"/>
            </c:ext>
          </c:extLst>
        </c:ser>
        <c:dLbls>
          <c:showLegendKey val="0"/>
          <c:showVal val="0"/>
          <c:showCatName val="0"/>
          <c:showSerName val="0"/>
          <c:showPercent val="0"/>
          <c:showBubbleSize val="0"/>
        </c:dLbls>
        <c:gapWidth val="100"/>
        <c:overlap val="-24"/>
        <c:axId val="925647104"/>
        <c:axId val="925663424"/>
      </c:barChart>
      <c:catAx>
        <c:axId val="925647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663424"/>
        <c:crosses val="autoZero"/>
        <c:auto val="1"/>
        <c:lblAlgn val="ctr"/>
        <c:lblOffset val="100"/>
        <c:noMultiLvlLbl val="0"/>
      </c:catAx>
      <c:valAx>
        <c:axId val="92566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64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28575">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[BUDEGT VS ACTUAL PERFORMANCE DASHBOARD.xlsx]Pivot 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Budget Revenue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Finance</c:v>
                </c:pt>
                <c:pt idx="1">
                  <c:v>HR</c:v>
                </c:pt>
                <c:pt idx="2">
                  <c:v>Marketing</c:v>
                </c:pt>
                <c:pt idx="3">
                  <c:v>Operations</c:v>
                </c:pt>
                <c:pt idx="4">
                  <c:v>Sales</c:v>
                </c:pt>
              </c:strCache>
            </c:strRef>
          </c:cat>
          <c:val>
            <c:numRef>
              <c:f>'Pivot Table'!$B$4:$B$9</c:f>
              <c:numCache>
                <c:formatCode>General</c:formatCode>
                <c:ptCount val="5"/>
                <c:pt idx="0">
                  <c:v>8712000</c:v>
                </c:pt>
                <c:pt idx="1">
                  <c:v>8232000</c:v>
                </c:pt>
                <c:pt idx="2">
                  <c:v>7272000</c:v>
                </c:pt>
                <c:pt idx="3">
                  <c:v>7752000</c:v>
                </c:pt>
                <c:pt idx="4">
                  <c:v>6792000</c:v>
                </c:pt>
              </c:numCache>
            </c:numRef>
          </c:val>
          <c:extLst>
            <c:ext xmlns:c16="http://schemas.microsoft.com/office/drawing/2014/chart" uri="{C3380CC4-5D6E-409C-BE32-E72D297353CC}">
              <c16:uniqueId val="{00000000-1006-4597-8E0D-F847C3CB7BCC}"/>
            </c:ext>
          </c:extLst>
        </c:ser>
        <c:ser>
          <c:idx val="1"/>
          <c:order val="1"/>
          <c:tx>
            <c:strRef>
              <c:f>'Pivot Table'!$C$3</c:f>
              <c:strCache>
                <c:ptCount val="1"/>
                <c:pt idx="0">
                  <c:v>Sum of Actual Revenue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Finance</c:v>
                </c:pt>
                <c:pt idx="1">
                  <c:v>HR</c:v>
                </c:pt>
                <c:pt idx="2">
                  <c:v>Marketing</c:v>
                </c:pt>
                <c:pt idx="3">
                  <c:v>Operations</c:v>
                </c:pt>
                <c:pt idx="4">
                  <c:v>Sales</c:v>
                </c:pt>
              </c:strCache>
            </c:strRef>
          </c:cat>
          <c:val>
            <c:numRef>
              <c:f>'Pivot Table'!$C$4:$C$9</c:f>
              <c:numCache>
                <c:formatCode>General</c:formatCode>
                <c:ptCount val="5"/>
                <c:pt idx="0">
                  <c:v>8904000</c:v>
                </c:pt>
                <c:pt idx="1">
                  <c:v>8328000</c:v>
                </c:pt>
                <c:pt idx="2">
                  <c:v>7176000</c:v>
                </c:pt>
                <c:pt idx="3">
                  <c:v>7752000</c:v>
                </c:pt>
                <c:pt idx="4">
                  <c:v>6600000</c:v>
                </c:pt>
              </c:numCache>
            </c:numRef>
          </c:val>
          <c:extLst>
            <c:ext xmlns:c16="http://schemas.microsoft.com/office/drawing/2014/chart" uri="{C3380CC4-5D6E-409C-BE32-E72D297353CC}">
              <c16:uniqueId val="{00000001-1006-4597-8E0D-F847C3CB7BCC}"/>
            </c:ext>
          </c:extLst>
        </c:ser>
        <c:dLbls>
          <c:showLegendKey val="0"/>
          <c:showVal val="0"/>
          <c:showCatName val="0"/>
          <c:showSerName val="0"/>
          <c:showPercent val="0"/>
          <c:showBubbleSize val="0"/>
        </c:dLbls>
        <c:gapWidth val="115"/>
        <c:overlap val="-20"/>
        <c:axId val="1116553824"/>
        <c:axId val="1116552384"/>
      </c:barChart>
      <c:catAx>
        <c:axId val="11165538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552384"/>
        <c:crosses val="autoZero"/>
        <c:auto val="1"/>
        <c:lblAlgn val="ctr"/>
        <c:lblOffset val="100"/>
        <c:noMultiLvlLbl val="0"/>
      </c:catAx>
      <c:valAx>
        <c:axId val="111655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5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28575">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[BUDEGT VS ACTUAL PERFORMANCE DASHBOARD.xlsx]Pivot Table!PivotTable3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Sum of Budget Profit</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Table'!$A$21:$A$26</c:f>
              <c:strCache>
                <c:ptCount val="5"/>
                <c:pt idx="0">
                  <c:v>Finance</c:v>
                </c:pt>
                <c:pt idx="1">
                  <c:v>HR</c:v>
                </c:pt>
                <c:pt idx="2">
                  <c:v>Marketing</c:v>
                </c:pt>
                <c:pt idx="3">
                  <c:v>Operations</c:v>
                </c:pt>
                <c:pt idx="4">
                  <c:v>Sales</c:v>
                </c:pt>
              </c:strCache>
            </c:strRef>
          </c:cat>
          <c:val>
            <c:numRef>
              <c:f>'Pivot Table'!$B$21:$B$26</c:f>
              <c:numCache>
                <c:formatCode>General</c:formatCode>
                <c:ptCount val="5"/>
                <c:pt idx="0">
                  <c:v>2787839.9999999995</c:v>
                </c:pt>
                <c:pt idx="1">
                  <c:v>2634239.9999999995</c:v>
                </c:pt>
                <c:pt idx="2">
                  <c:v>2327040</c:v>
                </c:pt>
                <c:pt idx="3">
                  <c:v>2480639.9999999995</c:v>
                </c:pt>
                <c:pt idx="4">
                  <c:v>2173440</c:v>
                </c:pt>
              </c:numCache>
            </c:numRef>
          </c:val>
          <c:extLst>
            <c:ext xmlns:c16="http://schemas.microsoft.com/office/drawing/2014/chart" uri="{C3380CC4-5D6E-409C-BE32-E72D297353CC}">
              <c16:uniqueId val="{00000000-4470-456B-A5BD-FB07EE249860}"/>
            </c:ext>
          </c:extLst>
        </c:ser>
        <c:dLbls>
          <c:showLegendKey val="0"/>
          <c:showVal val="0"/>
          <c:showCatName val="0"/>
          <c:showSerName val="0"/>
          <c:showPercent val="0"/>
          <c:showBubbleSize val="0"/>
        </c:dLbls>
        <c:gapWidth val="219"/>
        <c:overlap val="-27"/>
        <c:axId val="1116570144"/>
        <c:axId val="1116569184"/>
      </c:barChart>
      <c:lineChart>
        <c:grouping val="standard"/>
        <c:varyColors val="0"/>
        <c:ser>
          <c:idx val="1"/>
          <c:order val="1"/>
          <c:tx>
            <c:strRef>
              <c:f>'Pivot Table'!$C$20</c:f>
              <c:strCache>
                <c:ptCount val="1"/>
                <c:pt idx="0">
                  <c:v>Sum of Actual Profit</c:v>
                </c:pt>
              </c:strCache>
            </c:strRef>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cat>
            <c:strRef>
              <c:f>'Pivot Table'!$A$21:$A$26</c:f>
              <c:strCache>
                <c:ptCount val="5"/>
                <c:pt idx="0">
                  <c:v>Finance</c:v>
                </c:pt>
                <c:pt idx="1">
                  <c:v>HR</c:v>
                </c:pt>
                <c:pt idx="2">
                  <c:v>Marketing</c:v>
                </c:pt>
                <c:pt idx="3">
                  <c:v>Operations</c:v>
                </c:pt>
                <c:pt idx="4">
                  <c:v>Sales</c:v>
                </c:pt>
              </c:strCache>
            </c:strRef>
          </c:cat>
          <c:val>
            <c:numRef>
              <c:f>'Pivot Table'!$C$21:$C$26</c:f>
              <c:numCache>
                <c:formatCode>General</c:formatCode>
                <c:ptCount val="5"/>
                <c:pt idx="0">
                  <c:v>2997839.9999999995</c:v>
                </c:pt>
                <c:pt idx="1">
                  <c:v>2832239.9999999995</c:v>
                </c:pt>
                <c:pt idx="2">
                  <c:v>2249040</c:v>
                </c:pt>
                <c:pt idx="3">
                  <c:v>2414639.9999999995</c:v>
                </c:pt>
                <c:pt idx="4">
                  <c:v>2083440</c:v>
                </c:pt>
              </c:numCache>
            </c:numRef>
          </c:val>
          <c:smooth val="0"/>
          <c:extLst>
            <c:ext xmlns:c16="http://schemas.microsoft.com/office/drawing/2014/chart" uri="{C3380CC4-5D6E-409C-BE32-E72D297353CC}">
              <c16:uniqueId val="{00000001-4470-456B-A5BD-FB07EE249860}"/>
            </c:ext>
          </c:extLst>
        </c:ser>
        <c:dLbls>
          <c:showLegendKey val="0"/>
          <c:showVal val="0"/>
          <c:showCatName val="0"/>
          <c:showSerName val="0"/>
          <c:showPercent val="0"/>
          <c:showBubbleSize val="0"/>
        </c:dLbls>
        <c:marker val="1"/>
        <c:smooth val="0"/>
        <c:axId val="1116525504"/>
        <c:axId val="1116512544"/>
      </c:lineChart>
      <c:catAx>
        <c:axId val="1116570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569184"/>
        <c:crosses val="autoZero"/>
        <c:auto val="1"/>
        <c:lblAlgn val="ctr"/>
        <c:lblOffset val="100"/>
        <c:noMultiLvlLbl val="0"/>
      </c:catAx>
      <c:valAx>
        <c:axId val="111656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570144"/>
        <c:crosses val="autoZero"/>
        <c:crossBetween val="between"/>
      </c:valAx>
      <c:valAx>
        <c:axId val="11165125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525504"/>
        <c:crosses val="max"/>
        <c:crossBetween val="between"/>
      </c:valAx>
      <c:catAx>
        <c:axId val="1116525504"/>
        <c:scaling>
          <c:orientation val="minMax"/>
        </c:scaling>
        <c:delete val="1"/>
        <c:axPos val="b"/>
        <c:numFmt formatCode="General" sourceLinked="1"/>
        <c:majorTickMark val="none"/>
        <c:minorTickMark val="none"/>
        <c:tickLblPos val="nextTo"/>
        <c:crossAx val="1116512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28575">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[BUDEGT VS ACTUAL PERFORMANCE DASHBOARD.xlsx]Pivot Table!PivotTable4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Table'!$F$3:$F$4</c:f>
              <c:strCache>
                <c:ptCount val="1"/>
                <c:pt idx="0">
                  <c:v>Finance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D4-4229-9F0F-E68FB3EFCA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D4-4229-9F0F-E68FB3EFCA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D4-4229-9F0F-E68FB3EFCA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0D4-4229-9F0F-E68FB3EFCAD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0D4-4229-9F0F-E68FB3EFCAD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0D4-4229-9F0F-E68FB3EFCAD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0D4-4229-9F0F-E68FB3EFCAD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0D4-4229-9F0F-E68FB3EFCAD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0D4-4229-9F0F-E68FB3EFCAD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0D4-4229-9F0F-E68FB3EFCAD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0D4-4229-9F0F-E68FB3EFCAD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0D4-4229-9F0F-E68FB3EFCAD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D65-4137-89D4-FC8E87CDD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Table'!$F$5:$F$17</c:f>
              <c:numCache>
                <c:formatCode>General</c:formatCode>
                <c:ptCount val="12"/>
                <c:pt idx="0">
                  <c:v>7000</c:v>
                </c:pt>
                <c:pt idx="1">
                  <c:v>19000</c:v>
                </c:pt>
                <c:pt idx="2">
                  <c:v>31000</c:v>
                </c:pt>
                <c:pt idx="3">
                  <c:v>-2000</c:v>
                </c:pt>
                <c:pt idx="4">
                  <c:v>22000</c:v>
                </c:pt>
                <c:pt idx="5">
                  <c:v>34000</c:v>
                </c:pt>
                <c:pt idx="6">
                  <c:v>1000</c:v>
                </c:pt>
                <c:pt idx="7">
                  <c:v>13000</c:v>
                </c:pt>
                <c:pt idx="8">
                  <c:v>37000</c:v>
                </c:pt>
                <c:pt idx="9">
                  <c:v>4000</c:v>
                </c:pt>
                <c:pt idx="10">
                  <c:v>16000</c:v>
                </c:pt>
                <c:pt idx="11">
                  <c:v>28000</c:v>
                </c:pt>
              </c:numCache>
            </c:numRef>
          </c:val>
          <c:extLst>
            <c:ext xmlns:c16="http://schemas.microsoft.com/office/drawing/2014/chart" uri="{C3380CC4-5D6E-409C-BE32-E72D297353CC}">
              <c16:uniqueId val="{00000018-10D4-4229-9F0F-E68FB3EFCAD4}"/>
            </c:ext>
          </c:extLst>
        </c:ser>
        <c:ser>
          <c:idx val="1"/>
          <c:order val="1"/>
          <c:tx>
            <c:strRef>
              <c:f>'Pivot Table'!$G$3:$G$4</c:f>
              <c:strCache>
                <c:ptCount val="1"/>
                <c:pt idx="0">
                  <c:v>HR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D65-4137-89D4-FC8E87CDD5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D65-4137-89D4-FC8E87CDD5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D65-4137-89D4-FC8E87CDD5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D65-4137-89D4-FC8E87CDD5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D65-4137-89D4-FC8E87CDD5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D65-4137-89D4-FC8E87CDD5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D65-4137-89D4-FC8E87CDD55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D65-4137-89D4-FC8E87CDD55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D65-4137-89D4-FC8E87CDD55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D65-4137-89D4-FC8E87CDD55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D65-4137-89D4-FC8E87CDD55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D65-4137-89D4-FC8E87CDD55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D65-4137-89D4-FC8E87CDD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Table'!$G$5:$G$17</c:f>
              <c:numCache>
                <c:formatCode>General</c:formatCode>
                <c:ptCount val="12"/>
                <c:pt idx="0">
                  <c:v>6000</c:v>
                </c:pt>
                <c:pt idx="1">
                  <c:v>18000</c:v>
                </c:pt>
                <c:pt idx="2">
                  <c:v>30000</c:v>
                </c:pt>
                <c:pt idx="3">
                  <c:v>-3000</c:v>
                </c:pt>
                <c:pt idx="4">
                  <c:v>21000</c:v>
                </c:pt>
                <c:pt idx="5">
                  <c:v>33000</c:v>
                </c:pt>
                <c:pt idx="6">
                  <c:v>0</c:v>
                </c:pt>
                <c:pt idx="7">
                  <c:v>12000</c:v>
                </c:pt>
                <c:pt idx="8">
                  <c:v>36000</c:v>
                </c:pt>
                <c:pt idx="9">
                  <c:v>3000</c:v>
                </c:pt>
                <c:pt idx="10">
                  <c:v>15000</c:v>
                </c:pt>
                <c:pt idx="11">
                  <c:v>27000</c:v>
                </c:pt>
              </c:numCache>
            </c:numRef>
          </c:val>
          <c:extLst>
            <c:ext xmlns:c16="http://schemas.microsoft.com/office/drawing/2014/chart" uri="{C3380CC4-5D6E-409C-BE32-E72D297353CC}">
              <c16:uniqueId val="{00000084-10D4-4229-9F0F-E68FB3EFCAD4}"/>
            </c:ext>
          </c:extLst>
        </c:ser>
        <c:ser>
          <c:idx val="2"/>
          <c:order val="2"/>
          <c:tx>
            <c:strRef>
              <c:f>'Pivot Table'!$H$3:$H$4</c:f>
              <c:strCache>
                <c:ptCount val="1"/>
                <c:pt idx="0">
                  <c:v>Marketing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D65-4137-89D4-FC8E87CDD5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D65-4137-89D4-FC8E87CDD5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D65-4137-89D4-FC8E87CDD5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D65-4137-89D4-FC8E87CDD5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D65-4137-89D4-FC8E87CDD5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D65-4137-89D4-FC8E87CDD5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D65-4137-89D4-FC8E87CDD55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D65-4137-89D4-FC8E87CDD55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D65-4137-89D4-FC8E87CDD55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D65-4137-89D4-FC8E87CDD55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D65-4137-89D4-FC8E87CDD55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8D65-4137-89D4-FC8E87CDD55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8D65-4137-89D4-FC8E87CDD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Table'!$H$5:$H$17</c:f>
              <c:numCache>
                <c:formatCode>General</c:formatCode>
                <c:ptCount val="12"/>
                <c:pt idx="0">
                  <c:v>-17000</c:v>
                </c:pt>
                <c:pt idx="1">
                  <c:v>-5000</c:v>
                </c:pt>
                <c:pt idx="2">
                  <c:v>7000</c:v>
                </c:pt>
                <c:pt idx="3">
                  <c:v>-26000</c:v>
                </c:pt>
                <c:pt idx="4">
                  <c:v>-2000</c:v>
                </c:pt>
                <c:pt idx="5">
                  <c:v>10000</c:v>
                </c:pt>
                <c:pt idx="6">
                  <c:v>-23000</c:v>
                </c:pt>
                <c:pt idx="7">
                  <c:v>-11000</c:v>
                </c:pt>
                <c:pt idx="8">
                  <c:v>13000</c:v>
                </c:pt>
                <c:pt idx="9">
                  <c:v>-20000</c:v>
                </c:pt>
                <c:pt idx="10">
                  <c:v>-8000</c:v>
                </c:pt>
                <c:pt idx="11">
                  <c:v>4000</c:v>
                </c:pt>
              </c:numCache>
            </c:numRef>
          </c:val>
          <c:extLst>
            <c:ext xmlns:c16="http://schemas.microsoft.com/office/drawing/2014/chart" uri="{C3380CC4-5D6E-409C-BE32-E72D297353CC}">
              <c16:uniqueId val="{00000085-10D4-4229-9F0F-E68FB3EFCAD4}"/>
            </c:ext>
          </c:extLst>
        </c:ser>
        <c:ser>
          <c:idx val="3"/>
          <c:order val="3"/>
          <c:tx>
            <c:strRef>
              <c:f>'Pivot Table'!$I$3:$I$4</c:f>
              <c:strCache>
                <c:ptCount val="1"/>
                <c:pt idx="0">
                  <c:v>Operations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8D65-4137-89D4-FC8E87CDD5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8D65-4137-89D4-FC8E87CDD5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8D65-4137-89D4-FC8E87CDD5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8D65-4137-89D4-FC8E87CDD5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8D65-4137-89D4-FC8E87CDD5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8D65-4137-89D4-FC8E87CDD5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8D65-4137-89D4-FC8E87CDD55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8D65-4137-89D4-FC8E87CDD55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8D65-4137-89D4-FC8E87CDD55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8D65-4137-89D4-FC8E87CDD55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8D65-4137-89D4-FC8E87CDD55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8D65-4137-89D4-FC8E87CDD55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8D65-4137-89D4-FC8E87CDD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Table'!$I$5:$I$17</c:f>
              <c:numCache>
                <c:formatCode>General</c:formatCode>
                <c:ptCount val="12"/>
                <c:pt idx="0">
                  <c:v>-16000</c:v>
                </c:pt>
                <c:pt idx="1">
                  <c:v>-4000</c:v>
                </c:pt>
                <c:pt idx="2">
                  <c:v>8000</c:v>
                </c:pt>
                <c:pt idx="3">
                  <c:v>-25000</c:v>
                </c:pt>
                <c:pt idx="4">
                  <c:v>-1000</c:v>
                </c:pt>
                <c:pt idx="5">
                  <c:v>11000</c:v>
                </c:pt>
                <c:pt idx="6">
                  <c:v>-22000</c:v>
                </c:pt>
                <c:pt idx="7">
                  <c:v>-10000</c:v>
                </c:pt>
                <c:pt idx="8">
                  <c:v>14000</c:v>
                </c:pt>
                <c:pt idx="9">
                  <c:v>-19000</c:v>
                </c:pt>
                <c:pt idx="10">
                  <c:v>-7000</c:v>
                </c:pt>
                <c:pt idx="11">
                  <c:v>5000</c:v>
                </c:pt>
              </c:numCache>
            </c:numRef>
          </c:val>
          <c:extLst>
            <c:ext xmlns:c16="http://schemas.microsoft.com/office/drawing/2014/chart" uri="{C3380CC4-5D6E-409C-BE32-E72D297353CC}">
              <c16:uniqueId val="{00000086-10D4-4229-9F0F-E68FB3EFCAD4}"/>
            </c:ext>
          </c:extLst>
        </c:ser>
        <c:ser>
          <c:idx val="4"/>
          <c:order val="4"/>
          <c:tx>
            <c:strRef>
              <c:f>'Pivot Table'!$J$3:$J$4</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8D65-4137-89D4-FC8E87CDD5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8D65-4137-89D4-FC8E87CDD5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8D65-4137-89D4-FC8E87CDD5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8D65-4137-89D4-FC8E87CDD5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8D65-4137-89D4-FC8E87CDD5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8D65-4137-89D4-FC8E87CDD5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8D65-4137-89D4-FC8E87CDD55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8D65-4137-89D4-FC8E87CDD55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8D65-4137-89D4-FC8E87CDD55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8D65-4137-89D4-FC8E87CDD55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8D65-4137-89D4-FC8E87CDD55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8D65-4137-89D4-FC8E87CDD55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8D65-4137-89D4-FC8E87CDD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Table'!$J$5:$J$17</c:f>
              <c:numCache>
                <c:formatCode>General</c:formatCode>
                <c:ptCount val="12"/>
                <c:pt idx="0">
                  <c:v>-18000</c:v>
                </c:pt>
                <c:pt idx="1">
                  <c:v>-6000</c:v>
                </c:pt>
                <c:pt idx="2">
                  <c:v>6000</c:v>
                </c:pt>
                <c:pt idx="3">
                  <c:v>-27000</c:v>
                </c:pt>
                <c:pt idx="4">
                  <c:v>-3000</c:v>
                </c:pt>
                <c:pt idx="5">
                  <c:v>9000</c:v>
                </c:pt>
                <c:pt idx="6">
                  <c:v>-24000</c:v>
                </c:pt>
                <c:pt idx="7">
                  <c:v>-12000</c:v>
                </c:pt>
                <c:pt idx="8">
                  <c:v>12000</c:v>
                </c:pt>
                <c:pt idx="9">
                  <c:v>-21000</c:v>
                </c:pt>
                <c:pt idx="10">
                  <c:v>-9000</c:v>
                </c:pt>
                <c:pt idx="11">
                  <c:v>3000</c:v>
                </c:pt>
              </c:numCache>
            </c:numRef>
          </c:val>
          <c:extLst>
            <c:ext xmlns:c16="http://schemas.microsoft.com/office/drawing/2014/chart" uri="{C3380CC4-5D6E-409C-BE32-E72D297353CC}">
              <c16:uniqueId val="{00000087-10D4-4229-9F0F-E68FB3EFCA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28575">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[BUDEGT VS ACTUAL PERFORMANCE DASHBOARD.xlsx]Pivot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Table'!$F$20</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30-4522-83B4-3B1CB1F32A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30-4522-83B4-3B1CB1F32A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30-4522-83B4-3B1CB1F32AC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130-4522-83B4-3B1CB1F32AC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130-4522-83B4-3B1CB1F32AC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02E-47C2-BCE7-2BEE2630C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Table'!$E$21:$E$26</c:f>
              <c:strCache>
                <c:ptCount val="5"/>
                <c:pt idx="0">
                  <c:v>Finance</c:v>
                </c:pt>
                <c:pt idx="1">
                  <c:v>HR</c:v>
                </c:pt>
                <c:pt idx="2">
                  <c:v>Marketing</c:v>
                </c:pt>
                <c:pt idx="3">
                  <c:v>Operations</c:v>
                </c:pt>
                <c:pt idx="4">
                  <c:v>Sales</c:v>
                </c:pt>
              </c:strCache>
            </c:strRef>
          </c:cat>
          <c:val>
            <c:numRef>
              <c:f>'Pivot Table'!$F$21:$F$26</c:f>
              <c:numCache>
                <c:formatCode>General</c:formatCode>
                <c:ptCount val="5"/>
                <c:pt idx="0">
                  <c:v>0.90149793602475958</c:v>
                </c:pt>
                <c:pt idx="1">
                  <c:v>0.89923699559667691</c:v>
                </c:pt>
                <c:pt idx="2">
                  <c:v>-0.41188865420831999</c:v>
                </c:pt>
                <c:pt idx="3">
                  <c:v>-0.32741725954154938</c:v>
                </c:pt>
                <c:pt idx="4">
                  <c:v>-0.50851579025411686</c:v>
                </c:pt>
              </c:numCache>
            </c:numRef>
          </c:val>
          <c:extLst>
            <c:ext xmlns:c16="http://schemas.microsoft.com/office/drawing/2014/chart" uri="{C3380CC4-5D6E-409C-BE32-E72D297353CC}">
              <c16:uniqueId val="{0000000A-9130-4522-83B4-3B1CB1F32A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28575">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svg"/><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18</xdr:col>
      <xdr:colOff>456811</xdr:colOff>
      <xdr:row>32</xdr:row>
      <xdr:rowOff>174949</xdr:rowOff>
    </xdr:from>
    <xdr:to>
      <xdr:col>26</xdr:col>
      <xdr:colOff>19439</xdr:colOff>
      <xdr:row>44</xdr:row>
      <xdr:rowOff>155510</xdr:rowOff>
    </xdr:to>
    <xdr:sp macro="" textlink="">
      <xdr:nvSpPr>
        <xdr:cNvPr id="31" name="Rectangle: Rounded Corners 30">
          <a:extLst>
            <a:ext uri="{FF2B5EF4-FFF2-40B4-BE49-F238E27FC236}">
              <a16:creationId xmlns:a16="http://schemas.microsoft.com/office/drawing/2014/main" id="{37091FCA-1F0E-5DAA-102C-7E6C8A57C301}"/>
            </a:ext>
          </a:extLst>
        </xdr:cNvPr>
        <xdr:cNvSpPr/>
      </xdr:nvSpPr>
      <xdr:spPr>
        <a:xfrm>
          <a:off x="11478597" y="6395357"/>
          <a:ext cx="4461199" cy="2313214"/>
        </a:xfrm>
        <a:prstGeom prst="roundRect">
          <a:avLst/>
        </a:prstGeom>
        <a:solidFill>
          <a:schemeClr val="tx2">
            <a:lumMod val="90000"/>
            <a:lumOff val="1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59665</xdr:colOff>
      <xdr:row>8</xdr:row>
      <xdr:rowOff>132272</xdr:rowOff>
    </xdr:from>
    <xdr:to>
      <xdr:col>22</xdr:col>
      <xdr:colOff>584978</xdr:colOff>
      <xdr:row>15</xdr:row>
      <xdr:rowOff>37021</xdr:rowOff>
    </xdr:to>
    <xdr:sp macro="" textlink="'Working sheet'!I62">
      <xdr:nvSpPr>
        <xdr:cNvPr id="8" name="Rectangle: Rounded Corners 7">
          <a:extLst>
            <a:ext uri="{FF2B5EF4-FFF2-40B4-BE49-F238E27FC236}">
              <a16:creationId xmlns:a16="http://schemas.microsoft.com/office/drawing/2014/main" id="{943295A2-EA3A-4406-9057-010EE424C4E4}"/>
            </a:ext>
          </a:extLst>
        </xdr:cNvPr>
        <xdr:cNvSpPr/>
      </xdr:nvSpPr>
      <xdr:spPr>
        <a:xfrm>
          <a:off x="12280420" y="1713781"/>
          <a:ext cx="1747388" cy="1288570"/>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VARIANCE</a:t>
          </a:r>
          <a:r>
            <a:rPr lang="en-US" sz="2400" b="1" i="0" u="none" strike="noStrike" baseline="0">
              <a:solidFill>
                <a:schemeClr val="bg1"/>
              </a:solidFill>
              <a:latin typeface="Aptos Narrow"/>
            </a:rPr>
            <a:t> PROFIT</a:t>
          </a:r>
        </a:p>
        <a:p>
          <a:pPr algn="ctr"/>
          <a:fld id="{BDA5F1AD-FE09-407C-B11E-B19221E20911}" type="TxLink">
            <a:rPr lang="en-US" sz="1600" b="1" i="0" u="none" strike="noStrike">
              <a:solidFill>
                <a:schemeClr val="bg1"/>
              </a:solidFill>
              <a:latin typeface="Aptos Narrow"/>
            </a:rPr>
            <a:pPr algn="ctr"/>
            <a:t> ₹ 1,74,000.00 </a:t>
          </a:fld>
          <a:endParaRPr lang="en-US" sz="2400" b="1">
            <a:solidFill>
              <a:schemeClr val="bg1"/>
            </a:solidFill>
          </a:endParaRPr>
        </a:p>
      </xdr:txBody>
    </xdr:sp>
    <xdr:clientData/>
  </xdr:twoCellAnchor>
  <xdr:twoCellAnchor>
    <xdr:from>
      <xdr:col>23</xdr:col>
      <xdr:colOff>240641</xdr:colOff>
      <xdr:row>8</xdr:row>
      <xdr:rowOff>132271</xdr:rowOff>
    </xdr:from>
    <xdr:to>
      <xdr:col>26</xdr:col>
      <xdr:colOff>154916</xdr:colOff>
      <xdr:row>15</xdr:row>
      <xdr:rowOff>37020</xdr:rowOff>
    </xdr:to>
    <xdr:sp macro="" textlink="'Working sheet'!J62">
      <xdr:nvSpPr>
        <xdr:cNvPr id="9" name="Rectangle: Rounded Corners 8">
          <a:extLst>
            <a:ext uri="{FF2B5EF4-FFF2-40B4-BE49-F238E27FC236}">
              <a16:creationId xmlns:a16="http://schemas.microsoft.com/office/drawing/2014/main" id="{E6E949BA-04A2-4F3B-A3B8-D1592F80264A}"/>
            </a:ext>
          </a:extLst>
        </xdr:cNvPr>
        <xdr:cNvSpPr/>
      </xdr:nvSpPr>
      <xdr:spPr>
        <a:xfrm>
          <a:off x="14294509" y="1713780"/>
          <a:ext cx="1747388" cy="1288570"/>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VARIANCE %</a:t>
          </a:r>
        </a:p>
        <a:p>
          <a:pPr algn="ctr"/>
          <a:fld id="{56CFCB77-254B-4009-84FC-077D4D0AF69F}" type="TxLink">
            <a:rPr lang="en-US" sz="1600" b="1" i="0" u="none" strike="noStrike">
              <a:solidFill>
                <a:schemeClr val="bg1"/>
              </a:solidFill>
              <a:latin typeface="Aptos Narrow"/>
            </a:rPr>
            <a:pPr algn="ctr"/>
            <a:t>55%</a:t>
          </a:fld>
          <a:endParaRPr lang="en-US" sz="2400" b="1">
            <a:solidFill>
              <a:schemeClr val="bg1"/>
            </a:solidFill>
          </a:endParaRPr>
        </a:p>
      </xdr:txBody>
    </xdr:sp>
    <xdr:clientData/>
  </xdr:twoCellAnchor>
  <xdr:twoCellAnchor>
    <xdr:from>
      <xdr:col>10</xdr:col>
      <xdr:colOff>288471</xdr:colOff>
      <xdr:row>16</xdr:row>
      <xdr:rowOff>95251</xdr:rowOff>
    </xdr:from>
    <xdr:to>
      <xdr:col>17</xdr:col>
      <xdr:colOff>269421</xdr:colOff>
      <xdr:row>31</xdr:row>
      <xdr:rowOff>114301</xdr:rowOff>
    </xdr:to>
    <xdr:graphicFrame macro="">
      <xdr:nvGraphicFramePr>
        <xdr:cNvPr id="11" name="Chart 1">
          <a:extLst>
            <a:ext uri="{FF2B5EF4-FFF2-40B4-BE49-F238E27FC236}">
              <a16:creationId xmlns:a16="http://schemas.microsoft.com/office/drawing/2014/main" id="{6BC26293-5B5B-C815-AFAC-34ECF5CCA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6901</xdr:colOff>
      <xdr:row>33</xdr:row>
      <xdr:rowOff>114481</xdr:rowOff>
    </xdr:from>
    <xdr:to>
      <xdr:col>22</xdr:col>
      <xdr:colOff>145791</xdr:colOff>
      <xdr:row>42</xdr:row>
      <xdr:rowOff>136071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AE4A356F-2A9E-1519-7DFC-D11B1D770A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536760" y="6451679"/>
              <a:ext cx="1959394" cy="1749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233361</xdr:colOff>
      <xdr:row>16</xdr:row>
      <xdr:rowOff>123825</xdr:rowOff>
    </xdr:from>
    <xdr:to>
      <xdr:col>9</xdr:col>
      <xdr:colOff>0</xdr:colOff>
      <xdr:row>31</xdr:row>
      <xdr:rowOff>114300</xdr:rowOff>
    </xdr:to>
    <xdr:graphicFrame macro="">
      <xdr:nvGraphicFramePr>
        <xdr:cNvPr id="13" name="Chart 2">
          <a:extLst>
            <a:ext uri="{FF2B5EF4-FFF2-40B4-BE49-F238E27FC236}">
              <a16:creationId xmlns:a16="http://schemas.microsoft.com/office/drawing/2014/main" id="{AAB4B201-D8A6-8419-66E6-643C01694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16</xdr:row>
      <xdr:rowOff>114300</xdr:rowOff>
    </xdr:from>
    <xdr:to>
      <xdr:col>26</xdr:col>
      <xdr:colOff>38100</xdr:colOff>
      <xdr:row>31</xdr:row>
      <xdr:rowOff>114299</xdr:rowOff>
    </xdr:to>
    <xdr:graphicFrame macro="">
      <xdr:nvGraphicFramePr>
        <xdr:cNvPr id="14" name="Chart 3">
          <a:extLst>
            <a:ext uri="{FF2B5EF4-FFF2-40B4-BE49-F238E27FC236}">
              <a16:creationId xmlns:a16="http://schemas.microsoft.com/office/drawing/2014/main" id="{0947475E-5F09-6B93-6B41-5A16728E1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303543</xdr:colOff>
      <xdr:row>8</xdr:row>
      <xdr:rowOff>114300</xdr:rowOff>
    </xdr:from>
    <xdr:to>
      <xdr:col>3</xdr:col>
      <xdr:colOff>227342</xdr:colOff>
      <xdr:row>15</xdr:row>
      <xdr:rowOff>19049</xdr:rowOff>
    </xdr:to>
    <xdr:grpSp>
      <xdr:nvGrpSpPr>
        <xdr:cNvPr id="17" name="Group 16">
          <a:extLst>
            <a:ext uri="{FF2B5EF4-FFF2-40B4-BE49-F238E27FC236}">
              <a16:creationId xmlns:a16="http://schemas.microsoft.com/office/drawing/2014/main" id="{3989F9D6-729E-43E0-B6F4-A9CF93D45D19}"/>
            </a:ext>
          </a:extLst>
        </xdr:cNvPr>
        <xdr:cNvGrpSpPr/>
      </xdr:nvGrpSpPr>
      <xdr:grpSpPr>
        <a:xfrm>
          <a:off x="303543" y="1650590"/>
          <a:ext cx="1744303" cy="1249003"/>
          <a:chOff x="123826" y="1638300"/>
          <a:chExt cx="1752599" cy="1238249"/>
        </a:xfrm>
      </xdr:grpSpPr>
      <xdr:sp macro="" textlink="">
        <xdr:nvSpPr>
          <xdr:cNvPr id="2" name="Rectangle: Rounded Corners 1">
            <a:extLst>
              <a:ext uri="{FF2B5EF4-FFF2-40B4-BE49-F238E27FC236}">
                <a16:creationId xmlns:a16="http://schemas.microsoft.com/office/drawing/2014/main" id="{54C55247-7CA2-5052-6E20-DD98173EF5DF}"/>
              </a:ext>
            </a:extLst>
          </xdr:cNvPr>
          <xdr:cNvSpPr/>
        </xdr:nvSpPr>
        <xdr:spPr>
          <a:xfrm>
            <a:off x="133350" y="1638300"/>
            <a:ext cx="1743075" cy="1238249"/>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a:t>
            </a:r>
            <a:r>
              <a:rPr lang="en-US" sz="2400" b="1"/>
              <a:t>BUDGET</a:t>
            </a:r>
            <a:r>
              <a:rPr lang="en-US" sz="2400" b="1" baseline="0"/>
              <a:t> REVENUE</a:t>
            </a:r>
            <a:endParaRPr lang="en-US" sz="1600" b="1" baseline="0"/>
          </a:p>
          <a:p>
            <a:pPr algn="ctr"/>
            <a:r>
              <a:rPr lang="en-US" sz="1600" b="1"/>
              <a:t>₹ 3,87,60,000.00 </a:t>
            </a:r>
          </a:p>
        </xdr:txBody>
      </xdr:sp>
      <xdr:pic>
        <xdr:nvPicPr>
          <xdr:cNvPr id="16" name="Graphic 15" descr="Bar graph with upward trend with solid fill">
            <a:extLst>
              <a:ext uri="{FF2B5EF4-FFF2-40B4-BE49-F238E27FC236}">
                <a16:creationId xmlns:a16="http://schemas.microsoft.com/office/drawing/2014/main" id="{53977A09-F5D9-26E7-7A0E-E45C92F6469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3826" y="1762125"/>
            <a:ext cx="419100" cy="419100"/>
          </a:xfrm>
          <a:prstGeom prst="rect">
            <a:avLst/>
          </a:prstGeom>
        </xdr:spPr>
      </xdr:pic>
    </xdr:grpSp>
    <xdr:clientData/>
  </xdr:twoCellAnchor>
  <xdr:twoCellAnchor>
    <xdr:from>
      <xdr:col>3</xdr:col>
      <xdr:colOff>417842</xdr:colOff>
      <xdr:row>8</xdr:row>
      <xdr:rowOff>106932</xdr:rowOff>
    </xdr:from>
    <xdr:to>
      <xdr:col>6</xdr:col>
      <xdr:colOff>341642</xdr:colOff>
      <xdr:row>15</xdr:row>
      <xdr:rowOff>11681</xdr:rowOff>
    </xdr:to>
    <xdr:grpSp>
      <xdr:nvGrpSpPr>
        <xdr:cNvPr id="36" name="Group 35">
          <a:extLst>
            <a:ext uri="{FF2B5EF4-FFF2-40B4-BE49-F238E27FC236}">
              <a16:creationId xmlns:a16="http://schemas.microsoft.com/office/drawing/2014/main" id="{BE537CD6-0862-1009-F505-7BE075197713}"/>
            </a:ext>
          </a:extLst>
        </xdr:cNvPr>
        <xdr:cNvGrpSpPr/>
      </xdr:nvGrpSpPr>
      <xdr:grpSpPr>
        <a:xfrm>
          <a:off x="2238346" y="1643222"/>
          <a:ext cx="1744304" cy="1249003"/>
          <a:chOff x="2250955" y="1688441"/>
          <a:chExt cx="1756913" cy="1288570"/>
        </a:xfrm>
      </xdr:grpSpPr>
      <xdr:sp macro="" textlink="">
        <xdr:nvSpPr>
          <xdr:cNvPr id="3" name="Rectangle: Rounded Corners 2">
            <a:extLst>
              <a:ext uri="{FF2B5EF4-FFF2-40B4-BE49-F238E27FC236}">
                <a16:creationId xmlns:a16="http://schemas.microsoft.com/office/drawing/2014/main" id="{EEC2256F-748F-41B0-856D-F1BAE2885FCB}"/>
              </a:ext>
            </a:extLst>
          </xdr:cNvPr>
          <xdr:cNvSpPr/>
        </xdr:nvSpPr>
        <xdr:spPr>
          <a:xfrm>
            <a:off x="2260480" y="1688441"/>
            <a:ext cx="1747388" cy="1288570"/>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a:t>
            </a:r>
            <a:r>
              <a:rPr lang="en-US" sz="2400" b="1"/>
              <a:t>ACTUAL</a:t>
            </a:r>
            <a:r>
              <a:rPr lang="en-US" sz="2400" b="1" baseline="0"/>
              <a:t> REVENUE</a:t>
            </a:r>
          </a:p>
          <a:p>
            <a:pPr algn="ctr"/>
            <a:r>
              <a:rPr lang="en-US" sz="1600" b="1"/>
              <a:t>₹ 3,87,60,000.00 </a:t>
            </a:r>
          </a:p>
        </xdr:txBody>
      </xdr:sp>
      <xdr:pic>
        <xdr:nvPicPr>
          <xdr:cNvPr id="18" name="Graphic 17" descr="Bar graph with upward trend with solid fill">
            <a:extLst>
              <a:ext uri="{FF2B5EF4-FFF2-40B4-BE49-F238E27FC236}">
                <a16:creationId xmlns:a16="http://schemas.microsoft.com/office/drawing/2014/main" id="{9237C288-D231-482B-8AE7-1DB93A38B1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50955" y="1800404"/>
            <a:ext cx="420538" cy="433477"/>
          </a:xfrm>
          <a:prstGeom prst="rect">
            <a:avLst/>
          </a:prstGeom>
        </xdr:spPr>
      </xdr:pic>
    </xdr:grpSp>
    <xdr:clientData/>
  </xdr:twoCellAnchor>
  <xdr:twoCellAnchor>
    <xdr:from>
      <xdr:col>6</xdr:col>
      <xdr:colOff>551192</xdr:colOff>
      <xdr:row>8</xdr:row>
      <xdr:rowOff>133350</xdr:rowOff>
    </xdr:from>
    <xdr:to>
      <xdr:col>9</xdr:col>
      <xdr:colOff>513092</xdr:colOff>
      <xdr:row>15</xdr:row>
      <xdr:rowOff>57150</xdr:rowOff>
    </xdr:to>
    <xdr:grpSp>
      <xdr:nvGrpSpPr>
        <xdr:cNvPr id="35" name="Group 34">
          <a:extLst>
            <a:ext uri="{FF2B5EF4-FFF2-40B4-BE49-F238E27FC236}">
              <a16:creationId xmlns:a16="http://schemas.microsoft.com/office/drawing/2014/main" id="{616AD94B-917E-2277-8B80-E095235C7DE2}"/>
            </a:ext>
          </a:extLst>
        </xdr:cNvPr>
        <xdr:cNvGrpSpPr/>
      </xdr:nvGrpSpPr>
      <xdr:grpSpPr>
        <a:xfrm>
          <a:off x="4192200" y="1669640"/>
          <a:ext cx="1782404" cy="1268054"/>
          <a:chOff x="4217418" y="1714859"/>
          <a:chExt cx="1795014" cy="1307621"/>
        </a:xfrm>
      </xdr:grpSpPr>
      <xdr:sp macro="" textlink="'Working sheet'!E62">
        <xdr:nvSpPr>
          <xdr:cNvPr id="4" name="Rectangle: Rounded Corners 3">
            <a:extLst>
              <a:ext uri="{FF2B5EF4-FFF2-40B4-BE49-F238E27FC236}">
                <a16:creationId xmlns:a16="http://schemas.microsoft.com/office/drawing/2014/main" id="{856A3998-2366-4BFF-9352-0B64A46C5A28}"/>
              </a:ext>
            </a:extLst>
          </xdr:cNvPr>
          <xdr:cNvSpPr/>
        </xdr:nvSpPr>
        <xdr:spPr>
          <a:xfrm>
            <a:off x="4217418" y="1714859"/>
            <a:ext cx="1795014" cy="1307621"/>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chemeClr val="lt1"/>
                </a:solidFill>
                <a:latin typeface="+mn-lt"/>
                <a:ea typeface="+mn-ea"/>
                <a:cs typeface="+mn-cs"/>
              </a:rPr>
              <a:t>BUDGET EXPENSE</a:t>
            </a:r>
          </a:p>
          <a:p>
            <a:pPr marL="0" indent="0" algn="ctr"/>
            <a:fld id="{5BB3E92A-43DC-44AD-8735-47E224E00E6B}" type="TxLink">
              <a:rPr lang="en-US" sz="1600" b="1">
                <a:solidFill>
                  <a:schemeClr val="lt1"/>
                </a:solidFill>
                <a:latin typeface="+mn-lt"/>
                <a:ea typeface="+mn-ea"/>
                <a:cs typeface="+mn-cs"/>
              </a:rPr>
              <a:pPr marL="0" indent="0" algn="ctr"/>
              <a:t> ₹ 2,63,56,800.00 </a:t>
            </a:fld>
            <a:endParaRPr lang="en-US" sz="1600" b="1">
              <a:solidFill>
                <a:schemeClr val="lt1"/>
              </a:solidFill>
              <a:latin typeface="+mn-lt"/>
              <a:ea typeface="+mn-ea"/>
              <a:cs typeface="+mn-cs"/>
            </a:endParaRPr>
          </a:p>
        </xdr:txBody>
      </xdr:sp>
      <xdr:pic>
        <xdr:nvPicPr>
          <xdr:cNvPr id="20" name="Graphic 19" descr="Money with solid fill">
            <a:extLst>
              <a:ext uri="{FF2B5EF4-FFF2-40B4-BE49-F238E27FC236}">
                <a16:creationId xmlns:a16="http://schemas.microsoft.com/office/drawing/2014/main" id="{ED535AF0-BB76-2DC4-6450-2B34C424D0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36468" y="1837427"/>
            <a:ext cx="372913" cy="385852"/>
          </a:xfrm>
          <a:prstGeom prst="rect">
            <a:avLst/>
          </a:prstGeom>
        </xdr:spPr>
      </xdr:pic>
    </xdr:grpSp>
    <xdr:clientData/>
  </xdr:twoCellAnchor>
  <xdr:twoCellAnchor>
    <xdr:from>
      <xdr:col>10</xdr:col>
      <xdr:colOff>185649</xdr:colOff>
      <xdr:row>8</xdr:row>
      <xdr:rowOff>132272</xdr:rowOff>
    </xdr:from>
    <xdr:to>
      <xdr:col>13</xdr:col>
      <xdr:colOff>99923</xdr:colOff>
      <xdr:row>15</xdr:row>
      <xdr:rowOff>37021</xdr:rowOff>
    </xdr:to>
    <xdr:grpSp>
      <xdr:nvGrpSpPr>
        <xdr:cNvPr id="34" name="Group 33">
          <a:extLst>
            <a:ext uri="{FF2B5EF4-FFF2-40B4-BE49-F238E27FC236}">
              <a16:creationId xmlns:a16="http://schemas.microsoft.com/office/drawing/2014/main" id="{2268F632-7C67-5615-E202-F7F301CAD6CA}"/>
            </a:ext>
          </a:extLst>
        </xdr:cNvPr>
        <xdr:cNvGrpSpPr/>
      </xdr:nvGrpSpPr>
      <xdr:grpSpPr>
        <a:xfrm>
          <a:off x="6253996" y="1668562"/>
          <a:ext cx="1734778" cy="1249003"/>
          <a:chOff x="6296026" y="1713781"/>
          <a:chExt cx="1747388" cy="1288570"/>
        </a:xfrm>
      </xdr:grpSpPr>
      <xdr:sp macro="" textlink="'Working sheet'!F62">
        <xdr:nvSpPr>
          <xdr:cNvPr id="5" name="Rectangle: Rounded Corners 4">
            <a:extLst>
              <a:ext uri="{FF2B5EF4-FFF2-40B4-BE49-F238E27FC236}">
                <a16:creationId xmlns:a16="http://schemas.microsoft.com/office/drawing/2014/main" id="{6F7A3881-5221-4B32-8638-B97942B54681}"/>
              </a:ext>
            </a:extLst>
          </xdr:cNvPr>
          <xdr:cNvSpPr/>
        </xdr:nvSpPr>
        <xdr:spPr>
          <a:xfrm>
            <a:off x="6296026" y="1713781"/>
            <a:ext cx="1747388" cy="1288570"/>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ACTUAL EXPENSE</a:t>
            </a:r>
          </a:p>
          <a:p>
            <a:pPr algn="ctr"/>
            <a:fld id="{4C17C00D-EFA6-4BA4-B93E-D52F0D6B19E0}" type="TxLink">
              <a:rPr lang="en-US" sz="1600" b="1" i="0" u="none" strike="noStrike">
                <a:solidFill>
                  <a:schemeClr val="bg1"/>
                </a:solidFill>
                <a:latin typeface="Aptos Narrow"/>
              </a:rPr>
              <a:pPr algn="ctr"/>
              <a:t> ₹ 2,61,82,800.00 </a:t>
            </a:fld>
            <a:endParaRPr lang="en-US" sz="2400" b="1" baseline="0">
              <a:solidFill>
                <a:schemeClr val="bg1"/>
              </a:solidFill>
            </a:endParaRPr>
          </a:p>
        </xdr:txBody>
      </xdr:sp>
      <xdr:pic>
        <xdr:nvPicPr>
          <xdr:cNvPr id="21" name="Graphic 20" descr="Money with solid fill">
            <a:extLst>
              <a:ext uri="{FF2B5EF4-FFF2-40B4-BE49-F238E27FC236}">
                <a16:creationId xmlns:a16="http://schemas.microsoft.com/office/drawing/2014/main" id="{26DCC7CD-02A6-4FDA-B4A4-AEFB2897665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33047" y="1843716"/>
            <a:ext cx="372912" cy="385852"/>
          </a:xfrm>
          <a:prstGeom prst="rect">
            <a:avLst/>
          </a:prstGeom>
        </xdr:spPr>
      </xdr:pic>
    </xdr:grpSp>
    <xdr:clientData/>
  </xdr:twoCellAnchor>
  <xdr:twoCellAnchor>
    <xdr:from>
      <xdr:col>13</xdr:col>
      <xdr:colOff>347932</xdr:colOff>
      <xdr:row>8</xdr:row>
      <xdr:rowOff>114300</xdr:rowOff>
    </xdr:from>
    <xdr:to>
      <xdr:col>16</xdr:col>
      <xdr:colOff>262207</xdr:colOff>
      <xdr:row>15</xdr:row>
      <xdr:rowOff>19049</xdr:rowOff>
    </xdr:to>
    <xdr:grpSp>
      <xdr:nvGrpSpPr>
        <xdr:cNvPr id="33" name="Group 32">
          <a:extLst>
            <a:ext uri="{FF2B5EF4-FFF2-40B4-BE49-F238E27FC236}">
              <a16:creationId xmlns:a16="http://schemas.microsoft.com/office/drawing/2014/main" id="{EE3D12C4-2679-A3B6-54E7-A0CBDD31A361}"/>
            </a:ext>
          </a:extLst>
        </xdr:cNvPr>
        <xdr:cNvGrpSpPr/>
      </xdr:nvGrpSpPr>
      <xdr:grpSpPr>
        <a:xfrm>
          <a:off x="8236783" y="1650590"/>
          <a:ext cx="1734779" cy="1249003"/>
          <a:chOff x="8291423" y="1695809"/>
          <a:chExt cx="1747388" cy="1288570"/>
        </a:xfrm>
      </xdr:grpSpPr>
      <xdr:sp macro="" textlink="'Working sheet'!G62">
        <xdr:nvSpPr>
          <xdr:cNvPr id="6" name="Rectangle: Rounded Corners 5">
            <a:extLst>
              <a:ext uri="{FF2B5EF4-FFF2-40B4-BE49-F238E27FC236}">
                <a16:creationId xmlns:a16="http://schemas.microsoft.com/office/drawing/2014/main" id="{DF4A4947-99FB-4FF7-8859-EC2EAA918EA1}"/>
              </a:ext>
            </a:extLst>
          </xdr:cNvPr>
          <xdr:cNvSpPr/>
        </xdr:nvSpPr>
        <xdr:spPr>
          <a:xfrm>
            <a:off x="8291423" y="1695809"/>
            <a:ext cx="1747388" cy="1288570"/>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BUDGET PROFIT</a:t>
            </a:r>
          </a:p>
          <a:p>
            <a:pPr algn="ctr"/>
            <a:fld id="{016989A6-9686-4866-8C06-950F553A0471}" type="TxLink">
              <a:rPr lang="en-US" sz="1600" b="1" i="0" u="none" strike="noStrike">
                <a:solidFill>
                  <a:schemeClr val="bg1"/>
                </a:solidFill>
                <a:latin typeface="Aptos Narrow"/>
              </a:rPr>
              <a:pPr algn="ctr"/>
              <a:t> ₹ 1,24,03,200.00 </a:t>
            </a:fld>
            <a:endParaRPr lang="en-US" sz="2400" b="1">
              <a:solidFill>
                <a:schemeClr val="bg1"/>
              </a:solidFill>
            </a:endParaRPr>
          </a:p>
        </xdr:txBody>
      </xdr:sp>
      <xdr:sp macro="" textlink="">
        <xdr:nvSpPr>
          <xdr:cNvPr id="32" name="Graphic 22" descr="Coins with solid fill">
            <a:extLst>
              <a:ext uri="{FF2B5EF4-FFF2-40B4-BE49-F238E27FC236}">
                <a16:creationId xmlns:a16="http://schemas.microsoft.com/office/drawing/2014/main" id="{ED712A55-51F3-89FD-3C86-E10B4D1310F6}"/>
              </a:ext>
            </a:extLst>
          </xdr:cNvPr>
          <xdr:cNvSpPr/>
        </xdr:nvSpPr>
        <xdr:spPr>
          <a:xfrm>
            <a:off x="8329046" y="1972393"/>
            <a:ext cx="400075" cy="359074"/>
          </a:xfrm>
          <a:custGeom>
            <a:avLst/>
            <a:gdLst>
              <a:gd name="csX0" fmla="*/ 371951 w 400075"/>
              <a:gd name="csY0" fmla="*/ 299229 h 359074"/>
              <a:gd name="csX1" fmla="*/ 352901 w 400075"/>
              <a:gd name="csY1" fmla="*/ 316185 h 359074"/>
              <a:gd name="csX2" fmla="*/ 352901 w 400075"/>
              <a:gd name="csY2" fmla="*/ 298231 h 359074"/>
              <a:gd name="csX3" fmla="*/ 371951 w 400075"/>
              <a:gd name="csY3" fmla="*/ 290252 h 359074"/>
              <a:gd name="csX4" fmla="*/ 371951 w 400075"/>
              <a:gd name="csY4" fmla="*/ 299229 h 359074"/>
              <a:gd name="csX5" fmla="*/ 333851 w 400075"/>
              <a:gd name="csY5" fmla="*/ 266314 h 359074"/>
              <a:gd name="csX6" fmla="*/ 333851 w 400075"/>
              <a:gd name="csY6" fmla="*/ 248360 h 359074"/>
              <a:gd name="csX7" fmla="*/ 352901 w 400075"/>
              <a:gd name="csY7" fmla="*/ 240380 h 359074"/>
              <a:gd name="csX8" fmla="*/ 352901 w 400075"/>
              <a:gd name="csY8" fmla="*/ 249357 h 359074"/>
              <a:gd name="csX9" fmla="*/ 333851 w 400075"/>
              <a:gd name="csY9" fmla="*/ 266314 h 359074"/>
              <a:gd name="csX10" fmla="*/ 333851 w 400075"/>
              <a:gd name="csY10" fmla="*/ 322170 h 359074"/>
              <a:gd name="csX11" fmla="*/ 314801 w 400075"/>
              <a:gd name="csY11" fmla="*/ 325661 h 359074"/>
              <a:gd name="csX12" fmla="*/ 314801 w 400075"/>
              <a:gd name="csY12" fmla="*/ 306211 h 359074"/>
              <a:gd name="csX13" fmla="*/ 333851 w 400075"/>
              <a:gd name="csY13" fmla="*/ 303218 h 359074"/>
              <a:gd name="csX14" fmla="*/ 333851 w 400075"/>
              <a:gd name="csY14" fmla="*/ 322170 h 359074"/>
              <a:gd name="csX15" fmla="*/ 295751 w 400075"/>
              <a:gd name="csY15" fmla="*/ 256339 h 359074"/>
              <a:gd name="csX16" fmla="*/ 314801 w 400075"/>
              <a:gd name="csY16" fmla="*/ 253347 h 359074"/>
              <a:gd name="csX17" fmla="*/ 314801 w 400075"/>
              <a:gd name="csY17" fmla="*/ 272298 h 359074"/>
              <a:gd name="csX18" fmla="*/ 295751 w 400075"/>
              <a:gd name="csY18" fmla="*/ 275789 h 359074"/>
              <a:gd name="csX19" fmla="*/ 295751 w 400075"/>
              <a:gd name="csY19" fmla="*/ 256339 h 359074"/>
              <a:gd name="csX20" fmla="*/ 295751 w 400075"/>
              <a:gd name="csY20" fmla="*/ 328154 h 359074"/>
              <a:gd name="csX21" fmla="*/ 276701 w 400075"/>
              <a:gd name="csY21" fmla="*/ 329152 h 359074"/>
              <a:gd name="csX22" fmla="*/ 276701 w 400075"/>
              <a:gd name="csY22" fmla="*/ 309203 h 359074"/>
              <a:gd name="csX23" fmla="*/ 295751 w 400075"/>
              <a:gd name="csY23" fmla="*/ 308206 h 359074"/>
              <a:gd name="csX24" fmla="*/ 295751 w 400075"/>
              <a:gd name="csY24" fmla="*/ 328154 h 359074"/>
              <a:gd name="csX25" fmla="*/ 257651 w 400075"/>
              <a:gd name="csY25" fmla="*/ 279280 h 359074"/>
              <a:gd name="csX26" fmla="*/ 257651 w 400075"/>
              <a:gd name="csY26" fmla="*/ 259332 h 359074"/>
              <a:gd name="csX27" fmla="*/ 276701 w 400075"/>
              <a:gd name="csY27" fmla="*/ 258334 h 359074"/>
              <a:gd name="csX28" fmla="*/ 276701 w 400075"/>
              <a:gd name="csY28" fmla="*/ 278283 h 359074"/>
              <a:gd name="csX29" fmla="*/ 257651 w 400075"/>
              <a:gd name="csY29" fmla="*/ 279280 h 359074"/>
              <a:gd name="csX30" fmla="*/ 257651 w 400075"/>
              <a:gd name="csY30" fmla="*/ 329152 h 359074"/>
              <a:gd name="csX31" fmla="*/ 238601 w 400075"/>
              <a:gd name="csY31" fmla="*/ 328154 h 359074"/>
              <a:gd name="csX32" fmla="*/ 238601 w 400075"/>
              <a:gd name="csY32" fmla="*/ 309203 h 359074"/>
              <a:gd name="csX33" fmla="*/ 248126 w 400075"/>
              <a:gd name="csY33" fmla="*/ 309203 h 359074"/>
              <a:gd name="csX34" fmla="*/ 257651 w 400075"/>
              <a:gd name="csY34" fmla="*/ 309203 h 359074"/>
              <a:gd name="csX35" fmla="*/ 257651 w 400075"/>
              <a:gd name="csY35" fmla="*/ 329152 h 359074"/>
              <a:gd name="csX36" fmla="*/ 219551 w 400075"/>
              <a:gd name="csY36" fmla="*/ 258334 h 359074"/>
              <a:gd name="csX37" fmla="*/ 238601 w 400075"/>
              <a:gd name="csY37" fmla="*/ 259332 h 359074"/>
              <a:gd name="csX38" fmla="*/ 238601 w 400075"/>
              <a:gd name="csY38" fmla="*/ 279280 h 359074"/>
              <a:gd name="csX39" fmla="*/ 219551 w 400075"/>
              <a:gd name="csY39" fmla="*/ 278283 h 359074"/>
              <a:gd name="csX40" fmla="*/ 219551 w 400075"/>
              <a:gd name="csY40" fmla="*/ 258334 h 359074"/>
              <a:gd name="csX41" fmla="*/ 219551 w 400075"/>
              <a:gd name="csY41" fmla="*/ 325661 h 359074"/>
              <a:gd name="csX42" fmla="*/ 200501 w 400075"/>
              <a:gd name="csY42" fmla="*/ 322170 h 359074"/>
              <a:gd name="csX43" fmla="*/ 200501 w 400075"/>
              <a:gd name="csY43" fmla="*/ 306211 h 359074"/>
              <a:gd name="csX44" fmla="*/ 219551 w 400075"/>
              <a:gd name="csY44" fmla="*/ 308206 h 359074"/>
              <a:gd name="csX45" fmla="*/ 219551 w 400075"/>
              <a:gd name="csY45" fmla="*/ 325661 h 359074"/>
              <a:gd name="csX46" fmla="*/ 181451 w 400075"/>
              <a:gd name="csY46" fmla="*/ 272298 h 359074"/>
              <a:gd name="csX47" fmla="*/ 181451 w 400075"/>
              <a:gd name="csY47" fmla="*/ 252848 h 359074"/>
              <a:gd name="csX48" fmla="*/ 200501 w 400075"/>
              <a:gd name="csY48" fmla="*/ 255841 h 359074"/>
              <a:gd name="csX49" fmla="*/ 200501 w 400075"/>
              <a:gd name="csY49" fmla="*/ 275789 h 359074"/>
              <a:gd name="csX50" fmla="*/ 181451 w 400075"/>
              <a:gd name="csY50" fmla="*/ 272298 h 359074"/>
              <a:gd name="csX51" fmla="*/ 181451 w 400075"/>
              <a:gd name="csY51" fmla="*/ 316185 h 359074"/>
              <a:gd name="csX52" fmla="*/ 162401 w 400075"/>
              <a:gd name="csY52" fmla="*/ 299229 h 359074"/>
              <a:gd name="csX53" fmla="*/ 162401 w 400075"/>
              <a:gd name="csY53" fmla="*/ 298231 h 359074"/>
              <a:gd name="csX54" fmla="*/ 162878 w 400075"/>
              <a:gd name="csY54" fmla="*/ 298231 h 359074"/>
              <a:gd name="csX55" fmla="*/ 166688 w 400075"/>
              <a:gd name="csY55" fmla="*/ 299229 h 359074"/>
              <a:gd name="csX56" fmla="*/ 181451 w 400075"/>
              <a:gd name="csY56" fmla="*/ 302720 h 359074"/>
              <a:gd name="csX57" fmla="*/ 181451 w 400075"/>
              <a:gd name="csY57" fmla="*/ 316185 h 359074"/>
              <a:gd name="csX58" fmla="*/ 105251 w 400075"/>
              <a:gd name="csY58" fmla="*/ 248360 h 359074"/>
              <a:gd name="csX59" fmla="*/ 114776 w 400075"/>
              <a:gd name="csY59" fmla="*/ 248859 h 359074"/>
              <a:gd name="csX60" fmla="*/ 114776 w 400075"/>
              <a:gd name="csY60" fmla="*/ 249357 h 359074"/>
              <a:gd name="csX61" fmla="*/ 119539 w 400075"/>
              <a:gd name="csY61" fmla="*/ 268807 h 359074"/>
              <a:gd name="csX62" fmla="*/ 105251 w 400075"/>
              <a:gd name="csY62" fmla="*/ 267810 h 359074"/>
              <a:gd name="csX63" fmla="*/ 105251 w 400075"/>
              <a:gd name="csY63" fmla="*/ 248360 h 359074"/>
              <a:gd name="csX64" fmla="*/ 86201 w 400075"/>
              <a:gd name="csY64" fmla="*/ 188514 h 359074"/>
              <a:gd name="csX65" fmla="*/ 105251 w 400075"/>
              <a:gd name="csY65" fmla="*/ 191506 h 359074"/>
              <a:gd name="csX66" fmla="*/ 105251 w 400075"/>
              <a:gd name="csY66" fmla="*/ 211455 h 359074"/>
              <a:gd name="csX67" fmla="*/ 86201 w 400075"/>
              <a:gd name="csY67" fmla="*/ 207964 h 359074"/>
              <a:gd name="csX68" fmla="*/ 86201 w 400075"/>
              <a:gd name="csY68" fmla="*/ 188514 h 359074"/>
              <a:gd name="csX69" fmla="*/ 86201 w 400075"/>
              <a:gd name="csY69" fmla="*/ 265815 h 359074"/>
              <a:gd name="csX70" fmla="*/ 67151 w 400075"/>
              <a:gd name="csY70" fmla="*/ 262324 h 359074"/>
              <a:gd name="csX71" fmla="*/ 67151 w 400075"/>
              <a:gd name="csY71" fmla="*/ 242874 h 359074"/>
              <a:gd name="csX72" fmla="*/ 86201 w 400075"/>
              <a:gd name="csY72" fmla="*/ 245866 h 359074"/>
              <a:gd name="csX73" fmla="*/ 86201 w 400075"/>
              <a:gd name="csY73" fmla="*/ 265815 h 359074"/>
              <a:gd name="csX74" fmla="*/ 48101 w 400075"/>
              <a:gd name="csY74" fmla="*/ 184524 h 359074"/>
              <a:gd name="csX75" fmla="*/ 48101 w 400075"/>
              <a:gd name="csY75" fmla="*/ 175548 h 359074"/>
              <a:gd name="csX76" fmla="*/ 67151 w 400075"/>
              <a:gd name="csY76" fmla="*/ 183028 h 359074"/>
              <a:gd name="csX77" fmla="*/ 67151 w 400075"/>
              <a:gd name="csY77" fmla="*/ 201481 h 359074"/>
              <a:gd name="csX78" fmla="*/ 48101 w 400075"/>
              <a:gd name="csY78" fmla="*/ 184524 h 359074"/>
              <a:gd name="csX79" fmla="*/ 48101 w 400075"/>
              <a:gd name="csY79" fmla="*/ 256339 h 359074"/>
              <a:gd name="csX80" fmla="*/ 29051 w 400075"/>
              <a:gd name="csY80" fmla="*/ 239383 h 359074"/>
              <a:gd name="csX81" fmla="*/ 29051 w 400075"/>
              <a:gd name="csY81" fmla="*/ 230406 h 359074"/>
              <a:gd name="csX82" fmla="*/ 48101 w 400075"/>
              <a:gd name="csY82" fmla="*/ 237887 h 359074"/>
              <a:gd name="csX83" fmla="*/ 48101 w 400075"/>
              <a:gd name="csY83" fmla="*/ 256339 h 359074"/>
              <a:gd name="csX84" fmla="*/ 29051 w 400075"/>
              <a:gd name="csY84" fmla="*/ 100740 h 359074"/>
              <a:gd name="csX85" fmla="*/ 48101 w 400075"/>
              <a:gd name="csY85" fmla="*/ 108221 h 359074"/>
              <a:gd name="csX86" fmla="*/ 48101 w 400075"/>
              <a:gd name="csY86" fmla="*/ 126674 h 359074"/>
              <a:gd name="csX87" fmla="*/ 29051 w 400075"/>
              <a:gd name="csY87" fmla="*/ 109717 h 359074"/>
              <a:gd name="csX88" fmla="*/ 29051 w 400075"/>
              <a:gd name="csY88" fmla="*/ 100740 h 359074"/>
              <a:gd name="csX89" fmla="*/ 86201 w 400075"/>
              <a:gd name="csY89" fmla="*/ 116699 h 359074"/>
              <a:gd name="csX90" fmla="*/ 86201 w 400075"/>
              <a:gd name="csY90" fmla="*/ 136648 h 359074"/>
              <a:gd name="csX91" fmla="*/ 67151 w 400075"/>
              <a:gd name="csY91" fmla="*/ 133157 h 359074"/>
              <a:gd name="csX92" fmla="*/ 67151 w 400075"/>
              <a:gd name="csY92" fmla="*/ 113707 h 359074"/>
              <a:gd name="csX93" fmla="*/ 86201 w 400075"/>
              <a:gd name="csY93" fmla="*/ 116699 h 359074"/>
              <a:gd name="csX94" fmla="*/ 133826 w 400075"/>
              <a:gd name="csY94" fmla="*/ 29923 h 359074"/>
              <a:gd name="csX95" fmla="*/ 238601 w 400075"/>
              <a:gd name="csY95" fmla="*/ 59846 h 359074"/>
              <a:gd name="csX96" fmla="*/ 133826 w 400075"/>
              <a:gd name="csY96" fmla="*/ 89769 h 359074"/>
              <a:gd name="csX97" fmla="*/ 29051 w 400075"/>
              <a:gd name="csY97" fmla="*/ 59846 h 359074"/>
              <a:gd name="csX98" fmla="*/ 133826 w 400075"/>
              <a:gd name="csY98" fmla="*/ 29923 h 359074"/>
              <a:gd name="csX99" fmla="*/ 162401 w 400075"/>
              <a:gd name="csY99" fmla="*/ 266314 h 359074"/>
              <a:gd name="csX100" fmla="*/ 143351 w 400075"/>
              <a:gd name="csY100" fmla="*/ 249357 h 359074"/>
              <a:gd name="csX101" fmla="*/ 143351 w 400075"/>
              <a:gd name="csY101" fmla="*/ 240380 h 359074"/>
              <a:gd name="csX102" fmla="*/ 162401 w 400075"/>
              <a:gd name="csY102" fmla="*/ 247861 h 359074"/>
              <a:gd name="csX103" fmla="*/ 162401 w 400075"/>
              <a:gd name="csY103" fmla="*/ 266314 h 359074"/>
              <a:gd name="csX104" fmla="*/ 219551 w 400075"/>
              <a:gd name="csY104" fmla="*/ 126674 h 359074"/>
              <a:gd name="csX105" fmla="*/ 219551 w 400075"/>
              <a:gd name="csY105" fmla="*/ 108720 h 359074"/>
              <a:gd name="csX106" fmla="*/ 238601 w 400075"/>
              <a:gd name="csY106" fmla="*/ 100740 h 359074"/>
              <a:gd name="csX107" fmla="*/ 238601 w 400075"/>
              <a:gd name="csY107" fmla="*/ 109717 h 359074"/>
              <a:gd name="csX108" fmla="*/ 219551 w 400075"/>
              <a:gd name="csY108" fmla="*/ 126674 h 359074"/>
              <a:gd name="csX109" fmla="*/ 181451 w 400075"/>
              <a:gd name="csY109" fmla="*/ 136149 h 359074"/>
              <a:gd name="csX110" fmla="*/ 181451 w 400075"/>
              <a:gd name="csY110" fmla="*/ 116699 h 359074"/>
              <a:gd name="csX111" fmla="*/ 200501 w 400075"/>
              <a:gd name="csY111" fmla="*/ 113707 h 359074"/>
              <a:gd name="csX112" fmla="*/ 200501 w 400075"/>
              <a:gd name="csY112" fmla="*/ 132658 h 359074"/>
              <a:gd name="csX113" fmla="*/ 181451 w 400075"/>
              <a:gd name="csY113" fmla="*/ 136149 h 359074"/>
              <a:gd name="csX114" fmla="*/ 143351 w 400075"/>
              <a:gd name="csY114" fmla="*/ 139640 h 359074"/>
              <a:gd name="csX115" fmla="*/ 143351 w 400075"/>
              <a:gd name="csY115" fmla="*/ 119692 h 359074"/>
              <a:gd name="csX116" fmla="*/ 162401 w 400075"/>
              <a:gd name="csY116" fmla="*/ 118694 h 359074"/>
              <a:gd name="csX117" fmla="*/ 162401 w 400075"/>
              <a:gd name="csY117" fmla="*/ 138643 h 359074"/>
              <a:gd name="csX118" fmla="*/ 143351 w 400075"/>
              <a:gd name="csY118" fmla="*/ 139640 h 359074"/>
              <a:gd name="csX119" fmla="*/ 105251 w 400075"/>
              <a:gd name="csY119" fmla="*/ 138643 h 359074"/>
              <a:gd name="csX120" fmla="*/ 105251 w 400075"/>
              <a:gd name="csY120" fmla="*/ 118694 h 359074"/>
              <a:gd name="csX121" fmla="*/ 124301 w 400075"/>
              <a:gd name="csY121" fmla="*/ 119692 h 359074"/>
              <a:gd name="csX122" fmla="*/ 124301 w 400075"/>
              <a:gd name="csY122" fmla="*/ 139640 h 359074"/>
              <a:gd name="csX123" fmla="*/ 105251 w 400075"/>
              <a:gd name="csY123" fmla="*/ 138643 h 359074"/>
              <a:gd name="csX124" fmla="*/ 352901 w 400075"/>
              <a:gd name="csY124" fmla="*/ 199486 h 359074"/>
              <a:gd name="csX125" fmla="*/ 248126 w 400075"/>
              <a:gd name="csY125" fmla="*/ 229409 h 359074"/>
              <a:gd name="csX126" fmla="*/ 143351 w 400075"/>
              <a:gd name="csY126" fmla="*/ 199486 h 359074"/>
              <a:gd name="csX127" fmla="*/ 248126 w 400075"/>
              <a:gd name="csY127" fmla="*/ 169563 h 359074"/>
              <a:gd name="csX128" fmla="*/ 352901 w 400075"/>
              <a:gd name="csY128" fmla="*/ 199486 h 359074"/>
              <a:gd name="csX129" fmla="*/ 381476 w 400075"/>
              <a:gd name="csY129" fmla="*/ 214447 h 359074"/>
              <a:gd name="csX130" fmla="*/ 381476 w 400075"/>
              <a:gd name="csY130" fmla="*/ 199486 h 359074"/>
              <a:gd name="csX131" fmla="*/ 329565 w 400075"/>
              <a:gd name="csY131" fmla="*/ 149614 h 359074"/>
              <a:gd name="csX132" fmla="*/ 285274 w 400075"/>
              <a:gd name="csY132" fmla="*/ 141635 h 359074"/>
              <a:gd name="csX133" fmla="*/ 285750 w 400075"/>
              <a:gd name="csY133" fmla="*/ 134653 h 359074"/>
              <a:gd name="csX134" fmla="*/ 266700 w 400075"/>
              <a:gd name="csY134" fmla="*/ 99743 h 359074"/>
              <a:gd name="csX135" fmla="*/ 266700 w 400075"/>
              <a:gd name="csY135" fmla="*/ 59846 h 359074"/>
              <a:gd name="csX136" fmla="*/ 214789 w 400075"/>
              <a:gd name="csY136" fmla="*/ 9974 h 359074"/>
              <a:gd name="csX137" fmla="*/ 133350 w 400075"/>
              <a:gd name="csY137" fmla="*/ 0 h 359074"/>
              <a:gd name="csX138" fmla="*/ 0 w 400075"/>
              <a:gd name="csY138" fmla="*/ 59846 h 359074"/>
              <a:gd name="csX139" fmla="*/ 0 w 400075"/>
              <a:gd name="csY139" fmla="*/ 109717 h 359074"/>
              <a:gd name="csX140" fmla="*/ 19050 w 400075"/>
              <a:gd name="csY140" fmla="*/ 144627 h 359074"/>
              <a:gd name="csX141" fmla="*/ 19050 w 400075"/>
              <a:gd name="csY141" fmla="*/ 154103 h 359074"/>
              <a:gd name="csX142" fmla="*/ 0 w 400075"/>
              <a:gd name="csY142" fmla="*/ 189512 h 359074"/>
              <a:gd name="csX143" fmla="*/ 0 w 400075"/>
              <a:gd name="csY143" fmla="*/ 239383 h 359074"/>
              <a:gd name="csX144" fmla="*/ 51911 w 400075"/>
              <a:gd name="csY144" fmla="*/ 289254 h 359074"/>
              <a:gd name="csX145" fmla="*/ 133350 w 400075"/>
              <a:gd name="csY145" fmla="*/ 299229 h 359074"/>
              <a:gd name="csX146" fmla="*/ 185261 w 400075"/>
              <a:gd name="csY146" fmla="*/ 349100 h 359074"/>
              <a:gd name="csX147" fmla="*/ 266700 w 400075"/>
              <a:gd name="csY147" fmla="*/ 359075 h 359074"/>
              <a:gd name="csX148" fmla="*/ 400050 w 400075"/>
              <a:gd name="csY148" fmla="*/ 299229 h 359074"/>
              <a:gd name="csX149" fmla="*/ 400050 w 400075"/>
              <a:gd name="csY149" fmla="*/ 249357 h 359074"/>
              <a:gd name="csX150" fmla="*/ 381476 w 400075"/>
              <a:gd name="csY150" fmla="*/ 214447 h 35907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400075" h="359074">
                <a:moveTo>
                  <a:pt x="371951" y="299229"/>
                </a:moveTo>
                <a:cubicBezTo>
                  <a:pt x="371951" y="305712"/>
                  <a:pt x="364808" y="311697"/>
                  <a:pt x="352901" y="316185"/>
                </a:cubicBezTo>
                <a:lnTo>
                  <a:pt x="352901" y="298231"/>
                </a:lnTo>
                <a:cubicBezTo>
                  <a:pt x="359569" y="296236"/>
                  <a:pt x="366236" y="293244"/>
                  <a:pt x="371951" y="290252"/>
                </a:cubicBezTo>
                <a:lnTo>
                  <a:pt x="371951" y="299229"/>
                </a:lnTo>
                <a:close/>
                <a:moveTo>
                  <a:pt x="333851" y="266314"/>
                </a:moveTo>
                <a:lnTo>
                  <a:pt x="333851" y="248360"/>
                </a:lnTo>
                <a:cubicBezTo>
                  <a:pt x="340519" y="246365"/>
                  <a:pt x="347186" y="243373"/>
                  <a:pt x="352901" y="240380"/>
                </a:cubicBezTo>
                <a:lnTo>
                  <a:pt x="352901" y="249357"/>
                </a:lnTo>
                <a:cubicBezTo>
                  <a:pt x="352901" y="255841"/>
                  <a:pt x="345758" y="261825"/>
                  <a:pt x="333851" y="266314"/>
                </a:cubicBezTo>
                <a:close/>
                <a:moveTo>
                  <a:pt x="333851" y="322170"/>
                </a:moveTo>
                <a:cubicBezTo>
                  <a:pt x="328136" y="323666"/>
                  <a:pt x="321469" y="324663"/>
                  <a:pt x="314801" y="325661"/>
                </a:cubicBezTo>
                <a:lnTo>
                  <a:pt x="314801" y="306211"/>
                </a:lnTo>
                <a:cubicBezTo>
                  <a:pt x="320993" y="305213"/>
                  <a:pt x="327660" y="304216"/>
                  <a:pt x="333851" y="303218"/>
                </a:cubicBezTo>
                <a:lnTo>
                  <a:pt x="333851" y="322170"/>
                </a:lnTo>
                <a:close/>
                <a:moveTo>
                  <a:pt x="295751" y="256339"/>
                </a:moveTo>
                <a:cubicBezTo>
                  <a:pt x="301943" y="255342"/>
                  <a:pt x="308610" y="254344"/>
                  <a:pt x="314801" y="253347"/>
                </a:cubicBezTo>
                <a:lnTo>
                  <a:pt x="314801" y="272298"/>
                </a:lnTo>
                <a:cubicBezTo>
                  <a:pt x="309086" y="273794"/>
                  <a:pt x="302419" y="274792"/>
                  <a:pt x="295751" y="275789"/>
                </a:cubicBezTo>
                <a:lnTo>
                  <a:pt x="295751" y="256339"/>
                </a:lnTo>
                <a:close/>
                <a:moveTo>
                  <a:pt x="295751" y="328154"/>
                </a:moveTo>
                <a:cubicBezTo>
                  <a:pt x="289560" y="328653"/>
                  <a:pt x="283369" y="329152"/>
                  <a:pt x="276701" y="329152"/>
                </a:cubicBezTo>
                <a:lnTo>
                  <a:pt x="276701" y="309203"/>
                </a:lnTo>
                <a:cubicBezTo>
                  <a:pt x="282416" y="309203"/>
                  <a:pt x="289084" y="308704"/>
                  <a:pt x="295751" y="308206"/>
                </a:cubicBezTo>
                <a:lnTo>
                  <a:pt x="295751" y="328154"/>
                </a:lnTo>
                <a:close/>
                <a:moveTo>
                  <a:pt x="257651" y="279280"/>
                </a:moveTo>
                <a:lnTo>
                  <a:pt x="257651" y="259332"/>
                </a:lnTo>
                <a:cubicBezTo>
                  <a:pt x="263366" y="259332"/>
                  <a:pt x="270034" y="258833"/>
                  <a:pt x="276701" y="258334"/>
                </a:cubicBezTo>
                <a:lnTo>
                  <a:pt x="276701" y="278283"/>
                </a:lnTo>
                <a:cubicBezTo>
                  <a:pt x="270510" y="278781"/>
                  <a:pt x="264319" y="278781"/>
                  <a:pt x="257651" y="279280"/>
                </a:cubicBezTo>
                <a:close/>
                <a:moveTo>
                  <a:pt x="257651" y="329152"/>
                </a:moveTo>
                <a:cubicBezTo>
                  <a:pt x="250984" y="329152"/>
                  <a:pt x="244793" y="328653"/>
                  <a:pt x="238601" y="328154"/>
                </a:cubicBezTo>
                <a:lnTo>
                  <a:pt x="238601" y="309203"/>
                </a:lnTo>
                <a:cubicBezTo>
                  <a:pt x="241935" y="309203"/>
                  <a:pt x="244793" y="309203"/>
                  <a:pt x="248126" y="309203"/>
                </a:cubicBezTo>
                <a:cubicBezTo>
                  <a:pt x="250984" y="309203"/>
                  <a:pt x="254318" y="309203"/>
                  <a:pt x="257651" y="309203"/>
                </a:cubicBezTo>
                <a:lnTo>
                  <a:pt x="257651" y="329152"/>
                </a:lnTo>
                <a:close/>
                <a:moveTo>
                  <a:pt x="219551" y="258334"/>
                </a:moveTo>
                <a:cubicBezTo>
                  <a:pt x="225743" y="258833"/>
                  <a:pt x="231934" y="259332"/>
                  <a:pt x="238601" y="259332"/>
                </a:cubicBezTo>
                <a:lnTo>
                  <a:pt x="238601" y="279280"/>
                </a:lnTo>
                <a:cubicBezTo>
                  <a:pt x="231934" y="279280"/>
                  <a:pt x="225743" y="278781"/>
                  <a:pt x="219551" y="278283"/>
                </a:cubicBezTo>
                <a:lnTo>
                  <a:pt x="219551" y="258334"/>
                </a:lnTo>
                <a:close/>
                <a:moveTo>
                  <a:pt x="219551" y="325661"/>
                </a:moveTo>
                <a:cubicBezTo>
                  <a:pt x="212884" y="324663"/>
                  <a:pt x="206216" y="323666"/>
                  <a:pt x="200501" y="322170"/>
                </a:cubicBezTo>
                <a:lnTo>
                  <a:pt x="200501" y="306211"/>
                </a:lnTo>
                <a:cubicBezTo>
                  <a:pt x="206693" y="307208"/>
                  <a:pt x="212884" y="307707"/>
                  <a:pt x="219551" y="308206"/>
                </a:cubicBezTo>
                <a:lnTo>
                  <a:pt x="219551" y="325661"/>
                </a:lnTo>
                <a:close/>
                <a:moveTo>
                  <a:pt x="181451" y="272298"/>
                </a:moveTo>
                <a:lnTo>
                  <a:pt x="181451" y="252848"/>
                </a:lnTo>
                <a:cubicBezTo>
                  <a:pt x="187643" y="253846"/>
                  <a:pt x="193834" y="255342"/>
                  <a:pt x="200501" y="255841"/>
                </a:cubicBezTo>
                <a:lnTo>
                  <a:pt x="200501" y="275789"/>
                </a:lnTo>
                <a:cubicBezTo>
                  <a:pt x="193834" y="274792"/>
                  <a:pt x="187166" y="273794"/>
                  <a:pt x="181451" y="272298"/>
                </a:cubicBezTo>
                <a:close/>
                <a:moveTo>
                  <a:pt x="181451" y="316185"/>
                </a:moveTo>
                <a:cubicBezTo>
                  <a:pt x="169545" y="311198"/>
                  <a:pt x="162401" y="305213"/>
                  <a:pt x="162401" y="299229"/>
                </a:cubicBezTo>
                <a:lnTo>
                  <a:pt x="162401" y="298231"/>
                </a:lnTo>
                <a:cubicBezTo>
                  <a:pt x="162401" y="298231"/>
                  <a:pt x="162401" y="298231"/>
                  <a:pt x="162878" y="298231"/>
                </a:cubicBezTo>
                <a:cubicBezTo>
                  <a:pt x="164306" y="298730"/>
                  <a:pt x="165259" y="299229"/>
                  <a:pt x="166688" y="299229"/>
                </a:cubicBezTo>
                <a:cubicBezTo>
                  <a:pt x="171450" y="300725"/>
                  <a:pt x="176213" y="301722"/>
                  <a:pt x="181451" y="302720"/>
                </a:cubicBezTo>
                <a:lnTo>
                  <a:pt x="181451" y="316185"/>
                </a:lnTo>
                <a:close/>
                <a:moveTo>
                  <a:pt x="105251" y="248360"/>
                </a:moveTo>
                <a:cubicBezTo>
                  <a:pt x="108585" y="248360"/>
                  <a:pt x="111442" y="248859"/>
                  <a:pt x="114776" y="248859"/>
                </a:cubicBezTo>
                <a:lnTo>
                  <a:pt x="114776" y="249357"/>
                </a:lnTo>
                <a:cubicBezTo>
                  <a:pt x="114776" y="256339"/>
                  <a:pt x="116205" y="263321"/>
                  <a:pt x="119539" y="268807"/>
                </a:cubicBezTo>
                <a:cubicBezTo>
                  <a:pt x="114776" y="268807"/>
                  <a:pt x="110014" y="268308"/>
                  <a:pt x="105251" y="267810"/>
                </a:cubicBezTo>
                <a:lnTo>
                  <a:pt x="105251" y="248360"/>
                </a:lnTo>
                <a:close/>
                <a:moveTo>
                  <a:pt x="86201" y="188514"/>
                </a:moveTo>
                <a:cubicBezTo>
                  <a:pt x="92392" y="189512"/>
                  <a:pt x="98584" y="191008"/>
                  <a:pt x="105251" y="191506"/>
                </a:cubicBezTo>
                <a:lnTo>
                  <a:pt x="105251" y="211455"/>
                </a:lnTo>
                <a:cubicBezTo>
                  <a:pt x="98584" y="210458"/>
                  <a:pt x="91916" y="209460"/>
                  <a:pt x="86201" y="207964"/>
                </a:cubicBezTo>
                <a:lnTo>
                  <a:pt x="86201" y="188514"/>
                </a:lnTo>
                <a:close/>
                <a:moveTo>
                  <a:pt x="86201" y="265815"/>
                </a:moveTo>
                <a:cubicBezTo>
                  <a:pt x="79534" y="264817"/>
                  <a:pt x="72866" y="263820"/>
                  <a:pt x="67151" y="262324"/>
                </a:cubicBezTo>
                <a:lnTo>
                  <a:pt x="67151" y="242874"/>
                </a:lnTo>
                <a:cubicBezTo>
                  <a:pt x="73342" y="243871"/>
                  <a:pt x="79534" y="245368"/>
                  <a:pt x="86201" y="245866"/>
                </a:cubicBezTo>
                <a:lnTo>
                  <a:pt x="86201" y="265815"/>
                </a:lnTo>
                <a:close/>
                <a:moveTo>
                  <a:pt x="48101" y="184524"/>
                </a:moveTo>
                <a:lnTo>
                  <a:pt x="48101" y="175548"/>
                </a:lnTo>
                <a:cubicBezTo>
                  <a:pt x="53816" y="178540"/>
                  <a:pt x="60008" y="181033"/>
                  <a:pt x="67151" y="183028"/>
                </a:cubicBezTo>
                <a:lnTo>
                  <a:pt x="67151" y="201481"/>
                </a:lnTo>
                <a:cubicBezTo>
                  <a:pt x="55245" y="196992"/>
                  <a:pt x="48101" y="191008"/>
                  <a:pt x="48101" y="184524"/>
                </a:cubicBezTo>
                <a:close/>
                <a:moveTo>
                  <a:pt x="48101" y="256339"/>
                </a:moveTo>
                <a:cubicBezTo>
                  <a:pt x="36195" y="251352"/>
                  <a:pt x="29051" y="245368"/>
                  <a:pt x="29051" y="239383"/>
                </a:cubicBezTo>
                <a:lnTo>
                  <a:pt x="29051" y="230406"/>
                </a:lnTo>
                <a:cubicBezTo>
                  <a:pt x="34766" y="233398"/>
                  <a:pt x="40958" y="235892"/>
                  <a:pt x="48101" y="237887"/>
                </a:cubicBezTo>
                <a:lnTo>
                  <a:pt x="48101" y="256339"/>
                </a:lnTo>
                <a:close/>
                <a:moveTo>
                  <a:pt x="29051" y="100740"/>
                </a:moveTo>
                <a:cubicBezTo>
                  <a:pt x="34766" y="103733"/>
                  <a:pt x="40958" y="106226"/>
                  <a:pt x="48101" y="108221"/>
                </a:cubicBezTo>
                <a:lnTo>
                  <a:pt x="48101" y="126674"/>
                </a:lnTo>
                <a:cubicBezTo>
                  <a:pt x="36195" y="121686"/>
                  <a:pt x="29051" y="115702"/>
                  <a:pt x="29051" y="109717"/>
                </a:cubicBezTo>
                <a:lnTo>
                  <a:pt x="29051" y="100740"/>
                </a:lnTo>
                <a:close/>
                <a:moveTo>
                  <a:pt x="86201" y="116699"/>
                </a:moveTo>
                <a:lnTo>
                  <a:pt x="86201" y="136648"/>
                </a:lnTo>
                <a:cubicBezTo>
                  <a:pt x="79534" y="135650"/>
                  <a:pt x="72866" y="134653"/>
                  <a:pt x="67151" y="133157"/>
                </a:cubicBezTo>
                <a:lnTo>
                  <a:pt x="67151" y="113707"/>
                </a:lnTo>
                <a:cubicBezTo>
                  <a:pt x="73342" y="114704"/>
                  <a:pt x="79534" y="115702"/>
                  <a:pt x="86201" y="116699"/>
                </a:cubicBezTo>
                <a:close/>
                <a:moveTo>
                  <a:pt x="133826" y="29923"/>
                </a:moveTo>
                <a:cubicBezTo>
                  <a:pt x="191929" y="29923"/>
                  <a:pt x="238601" y="43388"/>
                  <a:pt x="238601" y="59846"/>
                </a:cubicBezTo>
                <a:cubicBezTo>
                  <a:pt x="238601" y="76303"/>
                  <a:pt x="191929" y="89769"/>
                  <a:pt x="133826" y="89769"/>
                </a:cubicBezTo>
                <a:cubicBezTo>
                  <a:pt x="75724" y="89769"/>
                  <a:pt x="29051" y="76303"/>
                  <a:pt x="29051" y="59846"/>
                </a:cubicBezTo>
                <a:cubicBezTo>
                  <a:pt x="29051" y="43388"/>
                  <a:pt x="75724" y="29923"/>
                  <a:pt x="133826" y="29923"/>
                </a:cubicBezTo>
                <a:close/>
                <a:moveTo>
                  <a:pt x="162401" y="266314"/>
                </a:moveTo>
                <a:cubicBezTo>
                  <a:pt x="150495" y="261326"/>
                  <a:pt x="143351" y="255342"/>
                  <a:pt x="143351" y="249357"/>
                </a:cubicBezTo>
                <a:lnTo>
                  <a:pt x="143351" y="240380"/>
                </a:lnTo>
                <a:cubicBezTo>
                  <a:pt x="149066" y="243373"/>
                  <a:pt x="155258" y="245866"/>
                  <a:pt x="162401" y="247861"/>
                </a:cubicBezTo>
                <a:lnTo>
                  <a:pt x="162401" y="266314"/>
                </a:lnTo>
                <a:close/>
                <a:moveTo>
                  <a:pt x="219551" y="126674"/>
                </a:moveTo>
                <a:lnTo>
                  <a:pt x="219551" y="108720"/>
                </a:lnTo>
                <a:cubicBezTo>
                  <a:pt x="226219" y="106725"/>
                  <a:pt x="232886" y="103733"/>
                  <a:pt x="238601" y="100740"/>
                </a:cubicBezTo>
                <a:lnTo>
                  <a:pt x="238601" y="109717"/>
                </a:lnTo>
                <a:cubicBezTo>
                  <a:pt x="238601" y="116200"/>
                  <a:pt x="231458" y="122185"/>
                  <a:pt x="219551" y="126674"/>
                </a:cubicBezTo>
                <a:close/>
                <a:moveTo>
                  <a:pt x="181451" y="136149"/>
                </a:moveTo>
                <a:lnTo>
                  <a:pt x="181451" y="116699"/>
                </a:lnTo>
                <a:cubicBezTo>
                  <a:pt x="187643" y="115702"/>
                  <a:pt x="194310" y="114704"/>
                  <a:pt x="200501" y="113707"/>
                </a:cubicBezTo>
                <a:lnTo>
                  <a:pt x="200501" y="132658"/>
                </a:lnTo>
                <a:cubicBezTo>
                  <a:pt x="194786" y="134154"/>
                  <a:pt x="188119" y="135152"/>
                  <a:pt x="181451" y="136149"/>
                </a:cubicBezTo>
                <a:close/>
                <a:moveTo>
                  <a:pt x="143351" y="139640"/>
                </a:moveTo>
                <a:lnTo>
                  <a:pt x="143351" y="119692"/>
                </a:lnTo>
                <a:cubicBezTo>
                  <a:pt x="149066" y="119692"/>
                  <a:pt x="155734" y="119193"/>
                  <a:pt x="162401" y="118694"/>
                </a:cubicBezTo>
                <a:lnTo>
                  <a:pt x="162401" y="138643"/>
                </a:lnTo>
                <a:cubicBezTo>
                  <a:pt x="156210" y="139141"/>
                  <a:pt x="150019" y="139141"/>
                  <a:pt x="143351" y="139640"/>
                </a:cubicBezTo>
                <a:close/>
                <a:moveTo>
                  <a:pt x="105251" y="138643"/>
                </a:moveTo>
                <a:lnTo>
                  <a:pt x="105251" y="118694"/>
                </a:lnTo>
                <a:cubicBezTo>
                  <a:pt x="111442" y="119193"/>
                  <a:pt x="117634" y="119692"/>
                  <a:pt x="124301" y="119692"/>
                </a:cubicBezTo>
                <a:lnTo>
                  <a:pt x="124301" y="139640"/>
                </a:lnTo>
                <a:cubicBezTo>
                  <a:pt x="117634" y="139141"/>
                  <a:pt x="111442" y="139141"/>
                  <a:pt x="105251" y="138643"/>
                </a:cubicBezTo>
                <a:close/>
                <a:moveTo>
                  <a:pt x="352901" y="199486"/>
                </a:moveTo>
                <a:cubicBezTo>
                  <a:pt x="352901" y="215943"/>
                  <a:pt x="306229" y="229409"/>
                  <a:pt x="248126" y="229409"/>
                </a:cubicBezTo>
                <a:cubicBezTo>
                  <a:pt x="190024" y="229409"/>
                  <a:pt x="143351" y="215943"/>
                  <a:pt x="143351" y="199486"/>
                </a:cubicBezTo>
                <a:cubicBezTo>
                  <a:pt x="143351" y="183028"/>
                  <a:pt x="190024" y="169563"/>
                  <a:pt x="248126" y="169563"/>
                </a:cubicBezTo>
                <a:cubicBezTo>
                  <a:pt x="306229" y="169563"/>
                  <a:pt x="352901" y="183028"/>
                  <a:pt x="352901" y="199486"/>
                </a:cubicBezTo>
                <a:close/>
                <a:moveTo>
                  <a:pt x="381476" y="214447"/>
                </a:moveTo>
                <a:lnTo>
                  <a:pt x="381476" y="199486"/>
                </a:lnTo>
                <a:cubicBezTo>
                  <a:pt x="381476" y="176046"/>
                  <a:pt x="363855" y="159090"/>
                  <a:pt x="329565" y="149614"/>
                </a:cubicBezTo>
                <a:cubicBezTo>
                  <a:pt x="316706" y="146123"/>
                  <a:pt x="301943" y="143131"/>
                  <a:pt x="285274" y="141635"/>
                </a:cubicBezTo>
                <a:cubicBezTo>
                  <a:pt x="285750" y="139640"/>
                  <a:pt x="285750" y="137147"/>
                  <a:pt x="285750" y="134653"/>
                </a:cubicBezTo>
                <a:cubicBezTo>
                  <a:pt x="285750" y="120689"/>
                  <a:pt x="279559" y="108720"/>
                  <a:pt x="266700" y="99743"/>
                </a:cubicBezTo>
                <a:lnTo>
                  <a:pt x="266700" y="59846"/>
                </a:lnTo>
                <a:cubicBezTo>
                  <a:pt x="266700" y="36406"/>
                  <a:pt x="249079" y="19450"/>
                  <a:pt x="214789" y="9974"/>
                </a:cubicBezTo>
                <a:cubicBezTo>
                  <a:pt x="192405" y="3491"/>
                  <a:pt x="163830" y="0"/>
                  <a:pt x="133350" y="0"/>
                </a:cubicBezTo>
                <a:cubicBezTo>
                  <a:pt x="93345" y="0"/>
                  <a:pt x="0" y="5985"/>
                  <a:pt x="0" y="59846"/>
                </a:cubicBezTo>
                <a:lnTo>
                  <a:pt x="0" y="109717"/>
                </a:lnTo>
                <a:cubicBezTo>
                  <a:pt x="0" y="123681"/>
                  <a:pt x="6191" y="135650"/>
                  <a:pt x="19050" y="144627"/>
                </a:cubicBezTo>
                <a:lnTo>
                  <a:pt x="19050" y="154103"/>
                </a:lnTo>
                <a:cubicBezTo>
                  <a:pt x="7620" y="162581"/>
                  <a:pt x="0" y="174051"/>
                  <a:pt x="0" y="189512"/>
                </a:cubicBezTo>
                <a:lnTo>
                  <a:pt x="0" y="239383"/>
                </a:lnTo>
                <a:cubicBezTo>
                  <a:pt x="0" y="262823"/>
                  <a:pt x="17621" y="279779"/>
                  <a:pt x="51911" y="289254"/>
                </a:cubicBezTo>
                <a:cubicBezTo>
                  <a:pt x="74295" y="295738"/>
                  <a:pt x="102870" y="299229"/>
                  <a:pt x="133350" y="299229"/>
                </a:cubicBezTo>
                <a:cubicBezTo>
                  <a:pt x="133350" y="322668"/>
                  <a:pt x="150971" y="339625"/>
                  <a:pt x="185261" y="349100"/>
                </a:cubicBezTo>
                <a:cubicBezTo>
                  <a:pt x="207645" y="355584"/>
                  <a:pt x="236220" y="359075"/>
                  <a:pt x="266700" y="359075"/>
                </a:cubicBezTo>
                <a:cubicBezTo>
                  <a:pt x="306705" y="359075"/>
                  <a:pt x="400050" y="353090"/>
                  <a:pt x="400050" y="299229"/>
                </a:cubicBezTo>
                <a:lnTo>
                  <a:pt x="400050" y="249357"/>
                </a:lnTo>
                <a:cubicBezTo>
                  <a:pt x="400526" y="235393"/>
                  <a:pt x="394335" y="223424"/>
                  <a:pt x="381476" y="214447"/>
                </a:cubicBezTo>
                <a:close/>
              </a:path>
            </a:pathLst>
          </a:custGeom>
          <a:solidFill>
            <a:srgbClr val="FFFF00"/>
          </a:solidFill>
          <a:ln w="4763" cap="flat">
            <a:noFill/>
            <a:prstDash val="solid"/>
            <a:miter/>
          </a:ln>
        </xdr:spPr>
      </xdr:sp>
    </xdr:grpSp>
    <xdr:clientData/>
  </xdr:twoCellAnchor>
  <xdr:twoCellAnchor>
    <xdr:from>
      <xdr:col>16</xdr:col>
      <xdr:colOff>509857</xdr:colOff>
      <xdr:row>8</xdr:row>
      <xdr:rowOff>131193</xdr:rowOff>
    </xdr:from>
    <xdr:to>
      <xdr:col>19</xdr:col>
      <xdr:colOff>433657</xdr:colOff>
      <xdr:row>15</xdr:row>
      <xdr:rowOff>28754</xdr:rowOff>
    </xdr:to>
    <xdr:grpSp>
      <xdr:nvGrpSpPr>
        <xdr:cNvPr id="25" name="Group 24">
          <a:extLst>
            <a:ext uri="{FF2B5EF4-FFF2-40B4-BE49-F238E27FC236}">
              <a16:creationId xmlns:a16="http://schemas.microsoft.com/office/drawing/2014/main" id="{EA997875-37F7-233F-6D84-DFCE4923C306}"/>
            </a:ext>
          </a:extLst>
        </xdr:cNvPr>
        <xdr:cNvGrpSpPr/>
      </xdr:nvGrpSpPr>
      <xdr:grpSpPr>
        <a:xfrm>
          <a:off x="10219212" y="1667483"/>
          <a:ext cx="1744304" cy="1241815"/>
          <a:chOff x="10029825" y="1619250"/>
          <a:chExt cx="1752600" cy="1238249"/>
        </a:xfrm>
      </xdr:grpSpPr>
      <xdr:sp macro="" textlink="'Working sheet'!H62">
        <xdr:nvSpPr>
          <xdr:cNvPr id="7" name="Rectangle: Rounded Corners 6">
            <a:extLst>
              <a:ext uri="{FF2B5EF4-FFF2-40B4-BE49-F238E27FC236}">
                <a16:creationId xmlns:a16="http://schemas.microsoft.com/office/drawing/2014/main" id="{12BD5459-B79C-4039-B90B-93C7033EF2F3}"/>
              </a:ext>
            </a:extLst>
          </xdr:cNvPr>
          <xdr:cNvSpPr/>
        </xdr:nvSpPr>
        <xdr:spPr>
          <a:xfrm>
            <a:off x="10039350" y="1619250"/>
            <a:ext cx="1743075" cy="1238249"/>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ACTUAL PROFIT</a:t>
            </a:r>
          </a:p>
          <a:p>
            <a:pPr algn="ctr"/>
            <a:fld id="{22BB297D-BC98-441C-AB9E-8DCB10CA8EB5}" type="TxLink">
              <a:rPr lang="en-US" sz="1600" b="1" i="0" u="none" strike="noStrike">
                <a:solidFill>
                  <a:schemeClr val="bg1"/>
                </a:solidFill>
                <a:latin typeface="Aptos Narrow"/>
              </a:rPr>
              <a:pPr algn="ctr"/>
              <a:t> ₹ 1,25,77,200.00 </a:t>
            </a:fld>
            <a:endParaRPr lang="en-US" sz="2400" b="1">
              <a:solidFill>
                <a:schemeClr val="bg1"/>
              </a:solidFill>
            </a:endParaRPr>
          </a:p>
        </xdr:txBody>
      </xdr:sp>
      <xdr:pic>
        <xdr:nvPicPr>
          <xdr:cNvPr id="24" name="Graphic 23" descr="Coins with solid fill">
            <a:extLst>
              <a:ext uri="{FF2B5EF4-FFF2-40B4-BE49-F238E27FC236}">
                <a16:creationId xmlns:a16="http://schemas.microsoft.com/office/drawing/2014/main" id="{D8947CD0-673A-4716-B36E-6A945F0F7F2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029825" y="1857375"/>
            <a:ext cx="457200" cy="457200"/>
          </a:xfrm>
          <a:prstGeom prst="rect">
            <a:avLst/>
          </a:prstGeom>
        </xdr:spPr>
      </xdr:pic>
    </xdr:grpSp>
    <xdr:clientData/>
  </xdr:twoCellAnchor>
  <xdr:twoCellAnchor>
    <xdr:from>
      <xdr:col>1</xdr:col>
      <xdr:colOff>237569</xdr:colOff>
      <xdr:row>32</xdr:row>
      <xdr:rowOff>63461</xdr:rowOff>
    </xdr:from>
    <xdr:to>
      <xdr:col>8</xdr:col>
      <xdr:colOff>584311</xdr:colOff>
      <xdr:row>47</xdr:row>
      <xdr:rowOff>138685</xdr:rowOff>
    </xdr:to>
    <xdr:graphicFrame macro="">
      <xdr:nvGraphicFramePr>
        <xdr:cNvPr id="26" name="Chart 4">
          <a:extLst>
            <a:ext uri="{FF2B5EF4-FFF2-40B4-BE49-F238E27FC236}">
              <a16:creationId xmlns:a16="http://schemas.microsoft.com/office/drawing/2014/main" id="{89C94EB9-8515-7F23-1269-7DA7CC5B8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288259</xdr:colOff>
      <xdr:row>32</xdr:row>
      <xdr:rowOff>71692</xdr:rowOff>
    </xdr:from>
    <xdr:to>
      <xdr:col>17</xdr:col>
      <xdr:colOff>348226</xdr:colOff>
      <xdr:row>47</xdr:row>
      <xdr:rowOff>184355</xdr:rowOff>
    </xdr:to>
    <xdr:graphicFrame macro="">
      <xdr:nvGraphicFramePr>
        <xdr:cNvPr id="27" name="Chart 5">
          <a:extLst>
            <a:ext uri="{FF2B5EF4-FFF2-40B4-BE49-F238E27FC236}">
              <a16:creationId xmlns:a16="http://schemas.microsoft.com/office/drawing/2014/main" id="{0FF5C621-5BD1-1F5A-187F-29176B974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500937</xdr:colOff>
      <xdr:row>33</xdr:row>
      <xdr:rowOff>116632</xdr:rowOff>
    </xdr:from>
    <xdr:to>
      <xdr:col>25</xdr:col>
      <xdr:colOff>447092</xdr:colOff>
      <xdr:row>44</xdr:row>
      <xdr:rowOff>38878</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9E8DF292-B875-65F7-91A2-D06E6B1BDA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851300" y="6453830"/>
              <a:ext cx="1766659" cy="2034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3.739630324075" createdVersion="8" refreshedVersion="8" minRefreshableVersion="3" recordCount="61" xr:uid="{8460CB5A-6360-4BA0-8F22-D895D4397484}">
  <cacheSource type="worksheet">
    <worksheetSource ref="A1:J1048576" sheet="Working sheet"/>
  </cacheSource>
  <cacheFields count="10">
    <cacheField name="Month" numFmtId="164">
      <sharedItems containsBlank="1" count="13">
        <s v="Jan"/>
        <s v="Feb"/>
        <s v="Mar"/>
        <s v="Apr"/>
        <s v="May"/>
        <s v="Jun"/>
        <s v="Jul"/>
        <s v="Aug"/>
        <s v="Sep"/>
        <s v="Oct"/>
        <s v="Nov"/>
        <s v="Dec"/>
        <m/>
      </sharedItems>
    </cacheField>
    <cacheField name="Department" numFmtId="0">
      <sharedItems containsBlank="1" count="6">
        <s v="Sales"/>
        <s v="Marketing"/>
        <s v="Operations"/>
        <s v="HR"/>
        <s v="Finance"/>
        <m/>
      </sharedItems>
    </cacheField>
    <cacheField name="Budget Revenue" numFmtId="164">
      <sharedItems containsString="0" containsBlank="1" containsNumber="1" containsInteger="1" minValue="500000" maxValue="792000"/>
    </cacheField>
    <cacheField name="Actual Revenue" numFmtId="164">
      <sharedItems containsString="0" containsBlank="1" containsNumber="1" containsInteger="1" minValue="469000" maxValue="823000"/>
    </cacheField>
    <cacheField name="Budget Expense" numFmtId="164">
      <sharedItems containsString="0" containsBlank="1" containsNumber="1" minValue="340000" maxValue="538560"/>
    </cacheField>
    <cacheField name="Actual Expense" numFmtId="164">
      <sharedItems containsString="0" containsBlank="1" containsNumber="1" minValue="327000" maxValue="541560"/>
    </cacheField>
    <cacheField name="Budget Profit" numFmtId="164">
      <sharedItems containsString="0" containsBlank="1" containsNumber="1" minValue="160000" maxValue="253440"/>
    </cacheField>
    <cacheField name="Actual Profit" numFmtId="164">
      <sharedItems containsString="0" containsBlank="1" containsNumber="1" minValue="142000" maxValue="281440"/>
    </cacheField>
    <cacheField name="Variance Profit" numFmtId="164">
      <sharedItems containsString="0" containsBlank="1" containsNumber="1" containsInteger="1" minValue="-27000" maxValue="37000"/>
    </cacheField>
    <cacheField name="Variance %" numFmtId="0">
      <sharedItems containsString="0" containsBlank="1" containsNumber="1" minValue="-0.1574160447761194" maxValue="0.157122905027933"/>
    </cacheField>
  </cacheFields>
  <extLst>
    <ext xmlns:x14="http://schemas.microsoft.com/office/spreadsheetml/2009/9/main" uri="{725AE2AE-9491-48be-B2B4-4EB974FC3084}">
      <x14:pivotCacheDefinition pivotCacheId="852122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n v="500000"/>
    <n v="469000"/>
    <n v="340000"/>
    <n v="327000"/>
    <n v="160000"/>
    <n v="142000"/>
    <n v="-18000"/>
    <n v="-0.1125"/>
  </r>
  <r>
    <x v="0"/>
    <x v="1"/>
    <n v="540000"/>
    <n v="517000"/>
    <n v="367200"/>
    <n v="361200"/>
    <n v="172800"/>
    <n v="155800"/>
    <n v="-17000"/>
    <n v="-9.8379629629629636E-2"/>
  </r>
  <r>
    <x v="0"/>
    <x v="2"/>
    <n v="580000"/>
    <n v="565000"/>
    <n v="394400"/>
    <n v="395400"/>
    <n v="185600"/>
    <n v="169600"/>
    <n v="-16000"/>
    <n v="-8.6206896551724144E-2"/>
  </r>
  <r>
    <x v="0"/>
    <x v="3"/>
    <n v="620000"/>
    <n v="613000"/>
    <n v="421600.00000000012"/>
    <n v="408600.00000000012"/>
    <n v="198399.99999999991"/>
    <n v="204399.99999999991"/>
    <n v="6000"/>
    <n v="3.0241935483870979E-2"/>
  </r>
  <r>
    <x v="0"/>
    <x v="4"/>
    <n v="660000"/>
    <n v="661000"/>
    <n v="448800.00000000012"/>
    <n v="442800.00000000012"/>
    <n v="211199.99999999991"/>
    <n v="218199.99999999991"/>
    <n v="7000"/>
    <n v="3.3143939393939413E-2"/>
  </r>
  <r>
    <x v="1"/>
    <x v="0"/>
    <n v="512000"/>
    <n v="496000"/>
    <n v="348160"/>
    <n v="338160"/>
    <n v="163840"/>
    <n v="157840"/>
    <n v="-6000"/>
    <n v="-3.662109375E-2"/>
  </r>
  <r>
    <x v="1"/>
    <x v="1"/>
    <n v="552000"/>
    <n v="544000"/>
    <n v="375360"/>
    <n v="372360"/>
    <n v="176640"/>
    <n v="171640"/>
    <n v="-5000"/>
    <n v="-2.8306159420289859E-2"/>
  </r>
  <r>
    <x v="1"/>
    <x v="2"/>
    <n v="592000"/>
    <n v="592000"/>
    <n v="402560"/>
    <n v="406560"/>
    <n v="189440"/>
    <n v="185440"/>
    <n v="-4000"/>
    <n v="-2.1114864864864861E-2"/>
  </r>
  <r>
    <x v="1"/>
    <x v="3"/>
    <n v="632000"/>
    <n v="640000"/>
    <n v="429760.00000000012"/>
    <n v="419760.00000000012"/>
    <n v="202239.99999999991"/>
    <n v="220239.99999999991"/>
    <n v="18000"/>
    <n v="8.9003164556962056E-2"/>
  </r>
  <r>
    <x v="1"/>
    <x v="4"/>
    <n v="672000"/>
    <n v="688000"/>
    <n v="456960.00000000012"/>
    <n v="453960.00000000012"/>
    <n v="215039.99999999991"/>
    <n v="234039.99999999991"/>
    <n v="19000"/>
    <n v="8.8355654761904781E-2"/>
  </r>
  <r>
    <x v="2"/>
    <x v="0"/>
    <n v="524000"/>
    <n v="523000"/>
    <n v="356320"/>
    <n v="349320"/>
    <n v="167680"/>
    <n v="173680"/>
    <n v="6000"/>
    <n v="3.57824427480916E-2"/>
  </r>
  <r>
    <x v="2"/>
    <x v="1"/>
    <n v="564000"/>
    <n v="571000"/>
    <n v="383520"/>
    <n v="383520"/>
    <n v="180480"/>
    <n v="187480"/>
    <n v="7000"/>
    <n v="3.8785460992907798E-2"/>
  </r>
  <r>
    <x v="2"/>
    <x v="2"/>
    <n v="604000"/>
    <n v="619000"/>
    <n v="410720.00000000012"/>
    <n v="417720.00000000012"/>
    <n v="193279.99999999991"/>
    <n v="201279.99999999991"/>
    <n v="8000"/>
    <n v="4.1390728476821202E-2"/>
  </r>
  <r>
    <x v="2"/>
    <x v="3"/>
    <n v="644000"/>
    <n v="667000"/>
    <n v="437920.00000000012"/>
    <n v="430920.00000000012"/>
    <n v="206079.99999999991"/>
    <n v="236079.99999999991"/>
    <n v="30000"/>
    <n v="0.14557453416149069"/>
  </r>
  <r>
    <x v="2"/>
    <x v="4"/>
    <n v="684000"/>
    <n v="715000"/>
    <n v="465120.00000000012"/>
    <n v="465120.00000000012"/>
    <n v="218879.99999999991"/>
    <n v="249879.99999999991"/>
    <n v="31000"/>
    <n v="0.14163011695906441"/>
  </r>
  <r>
    <x v="3"/>
    <x v="0"/>
    <n v="536000"/>
    <n v="505000"/>
    <n v="364480"/>
    <n v="360480"/>
    <n v="171520"/>
    <n v="144520"/>
    <n v="-27000"/>
    <n v="-0.1574160447761194"/>
  </r>
  <r>
    <x v="3"/>
    <x v="1"/>
    <n v="576000"/>
    <n v="553000"/>
    <n v="391680"/>
    <n v="394680"/>
    <n v="184320"/>
    <n v="158320"/>
    <n v="-26000"/>
    <n v="-0.14105902777777779"/>
  </r>
  <r>
    <x v="3"/>
    <x v="2"/>
    <n v="616000"/>
    <n v="601000"/>
    <n v="418880.00000000012"/>
    <n v="428880.00000000012"/>
    <n v="197119.99999999991"/>
    <n v="172119.99999999991"/>
    <n v="-25000"/>
    <n v="-0.12682629870129869"/>
  </r>
  <r>
    <x v="3"/>
    <x v="3"/>
    <n v="656000"/>
    <n v="649000"/>
    <n v="446080.00000000012"/>
    <n v="442080.00000000012"/>
    <n v="209919.99999999991"/>
    <n v="206919.99999999991"/>
    <n v="-3000"/>
    <n v="-1.429115853658537E-2"/>
  </r>
  <r>
    <x v="3"/>
    <x v="4"/>
    <n v="696000"/>
    <n v="697000"/>
    <n v="473280.00000000012"/>
    <n v="476280.00000000012"/>
    <n v="222719.99999999991"/>
    <n v="220719.99999999991"/>
    <n v="-2000"/>
    <n v="-8.9798850574712673E-3"/>
  </r>
  <r>
    <x v="4"/>
    <x v="0"/>
    <n v="548000"/>
    <n v="532000"/>
    <n v="372640"/>
    <n v="359640"/>
    <n v="175360"/>
    <n v="172360"/>
    <n v="-3000"/>
    <n v="-1.7107664233576639E-2"/>
  </r>
  <r>
    <x v="4"/>
    <x v="1"/>
    <n v="588000"/>
    <n v="580000"/>
    <n v="399840"/>
    <n v="393840"/>
    <n v="188160"/>
    <n v="186160"/>
    <n v="-2000"/>
    <n v="-1.062925170068027E-2"/>
  </r>
  <r>
    <x v="4"/>
    <x v="2"/>
    <n v="628000"/>
    <n v="628000"/>
    <n v="427040.00000000012"/>
    <n v="428040.00000000012"/>
    <n v="200959.99999999991"/>
    <n v="199959.99999999991"/>
    <n v="-1000"/>
    <n v="-4.9761146496815302E-3"/>
  </r>
  <r>
    <x v="4"/>
    <x v="3"/>
    <n v="668000"/>
    <n v="676000"/>
    <n v="454240.00000000012"/>
    <n v="441240.00000000012"/>
    <n v="213759.99999999991"/>
    <n v="234759.99999999991"/>
    <n v="21000"/>
    <n v="9.8241017964071878E-2"/>
  </r>
  <r>
    <x v="4"/>
    <x v="4"/>
    <n v="708000"/>
    <n v="724000"/>
    <n v="481440.00000000012"/>
    <n v="475440.00000000012"/>
    <n v="226559.99999999991"/>
    <n v="248559.99999999991"/>
    <n v="22000"/>
    <n v="9.7104519774011328E-2"/>
  </r>
  <r>
    <x v="5"/>
    <x v="0"/>
    <n v="560000"/>
    <n v="559000"/>
    <n v="380800"/>
    <n v="370800"/>
    <n v="179200"/>
    <n v="188200"/>
    <n v="9000"/>
    <n v="5.0223214285714288E-2"/>
  </r>
  <r>
    <x v="5"/>
    <x v="1"/>
    <n v="600000"/>
    <n v="607000"/>
    <n v="408000.00000000012"/>
    <n v="405000.00000000012"/>
    <n v="191999.99999999991"/>
    <n v="201999.99999999991"/>
    <n v="10000"/>
    <n v="5.208333333333335E-2"/>
  </r>
  <r>
    <x v="5"/>
    <x v="2"/>
    <n v="640000"/>
    <n v="655000"/>
    <n v="435200.00000000012"/>
    <n v="439200.00000000012"/>
    <n v="204799.99999999991"/>
    <n v="215799.99999999991"/>
    <n v="11000"/>
    <n v="5.3710937500000007E-2"/>
  </r>
  <r>
    <x v="5"/>
    <x v="3"/>
    <n v="680000"/>
    <n v="703000"/>
    <n v="462400.00000000012"/>
    <n v="452400.00000000012"/>
    <n v="217599.99999999991"/>
    <n v="250599.99999999991"/>
    <n v="33000"/>
    <n v="0.1516544117647059"/>
  </r>
  <r>
    <x v="5"/>
    <x v="4"/>
    <n v="720000"/>
    <n v="751000"/>
    <n v="489600.00000000012"/>
    <n v="486600.00000000012"/>
    <n v="230399.99999999991"/>
    <n v="264399.99999999988"/>
    <n v="34000"/>
    <n v="0.1475694444444445"/>
  </r>
  <r>
    <x v="6"/>
    <x v="0"/>
    <n v="572000"/>
    <n v="541000"/>
    <n v="388960"/>
    <n v="381960"/>
    <n v="183040"/>
    <n v="159040"/>
    <n v="-24000"/>
    <n v="-0.13111888111888109"/>
  </r>
  <r>
    <x v="6"/>
    <x v="1"/>
    <n v="612000"/>
    <n v="589000"/>
    <n v="416160.00000000012"/>
    <n v="416160.00000000012"/>
    <n v="195839.99999999991"/>
    <n v="172839.99999999991"/>
    <n v="-23000"/>
    <n v="-0.11744281045751639"/>
  </r>
  <r>
    <x v="6"/>
    <x v="2"/>
    <n v="652000"/>
    <n v="637000"/>
    <n v="443360.00000000012"/>
    <n v="450360.00000000012"/>
    <n v="208639.99999999991"/>
    <n v="186639.99999999991"/>
    <n v="-22000"/>
    <n v="-0.10544478527607359"/>
  </r>
  <r>
    <x v="6"/>
    <x v="3"/>
    <n v="692000"/>
    <n v="685000"/>
    <n v="470560.00000000012"/>
    <n v="463560.00000000012"/>
    <n v="221439.99999999991"/>
    <n v="221439.99999999991"/>
    <n v="0"/>
    <n v="0"/>
  </r>
  <r>
    <x v="6"/>
    <x v="4"/>
    <n v="732000"/>
    <n v="733000"/>
    <n v="497760.00000000012"/>
    <n v="497760.00000000012"/>
    <n v="234239.99999999991"/>
    <n v="235239.99999999991"/>
    <n v="1000"/>
    <n v="4.2691256830601114E-3"/>
  </r>
  <r>
    <x v="7"/>
    <x v="0"/>
    <n v="584000"/>
    <n v="568000"/>
    <n v="397120"/>
    <n v="393120"/>
    <n v="186880"/>
    <n v="174880"/>
    <n v="-12000"/>
    <n v="-6.4212328767123295E-2"/>
  </r>
  <r>
    <x v="7"/>
    <x v="1"/>
    <n v="624000"/>
    <n v="616000"/>
    <n v="424320.00000000012"/>
    <n v="427320.00000000012"/>
    <n v="199679.99999999991"/>
    <n v="188679.99999999991"/>
    <n v="-11000"/>
    <n v="-5.5088141025641052E-2"/>
  </r>
  <r>
    <x v="7"/>
    <x v="2"/>
    <n v="664000"/>
    <n v="664000"/>
    <n v="451520.00000000012"/>
    <n v="461520.00000000012"/>
    <n v="212479.99999999991"/>
    <n v="202479.99999999991"/>
    <n v="-10000"/>
    <n v="-4.7063253012048209E-2"/>
  </r>
  <r>
    <x v="7"/>
    <x v="3"/>
    <n v="704000"/>
    <n v="712000"/>
    <n v="478720.00000000012"/>
    <n v="474720.00000000012"/>
    <n v="225279.99999999991"/>
    <n v="237279.99999999991"/>
    <n v="12000"/>
    <n v="5.326704545454547E-2"/>
  </r>
  <r>
    <x v="7"/>
    <x v="4"/>
    <n v="744000"/>
    <n v="760000"/>
    <n v="505920.00000000012"/>
    <n v="508920.00000000012"/>
    <n v="238079.99999999991"/>
    <n v="251079.99999999991"/>
    <n v="13000"/>
    <n v="5.4603494623655928E-2"/>
  </r>
  <r>
    <x v="8"/>
    <x v="0"/>
    <n v="596000"/>
    <n v="595000"/>
    <n v="405280.00000000012"/>
    <n v="392280.00000000012"/>
    <n v="190719.99999999991"/>
    <n v="202719.99999999991"/>
    <n v="12000"/>
    <n v="6.2919463087248342E-2"/>
  </r>
  <r>
    <x v="8"/>
    <x v="1"/>
    <n v="636000"/>
    <n v="643000"/>
    <n v="432480.00000000012"/>
    <n v="426480.00000000012"/>
    <n v="203519.99999999991"/>
    <n v="216519.99999999991"/>
    <n v="13000"/>
    <n v="6.3875786163522033E-2"/>
  </r>
  <r>
    <x v="8"/>
    <x v="2"/>
    <n v="676000"/>
    <n v="691000"/>
    <n v="459680.00000000012"/>
    <n v="460680.00000000012"/>
    <n v="216319.99999999991"/>
    <n v="230319.99999999991"/>
    <n v="14000"/>
    <n v="6.4718934911242615E-2"/>
  </r>
  <r>
    <x v="8"/>
    <x v="3"/>
    <n v="716000"/>
    <n v="739000"/>
    <n v="486880.00000000012"/>
    <n v="473880.00000000012"/>
    <n v="229119.99999999991"/>
    <n v="265119.99999999988"/>
    <n v="36000"/>
    <n v="0.157122905027933"/>
  </r>
  <r>
    <x v="8"/>
    <x v="4"/>
    <n v="756000"/>
    <n v="787000"/>
    <n v="514080.00000000012"/>
    <n v="508080.00000000012"/>
    <n v="241919.99999999991"/>
    <n v="278919.99999999988"/>
    <n v="37000"/>
    <n v="0.15294312169312169"/>
  </r>
  <r>
    <x v="9"/>
    <x v="0"/>
    <n v="608000"/>
    <n v="577000"/>
    <n v="413440.00000000012"/>
    <n v="403440.00000000012"/>
    <n v="194559.99999999991"/>
    <n v="173559.99999999991"/>
    <n v="-21000"/>
    <n v="-0.1079358552631579"/>
  </r>
  <r>
    <x v="9"/>
    <x v="1"/>
    <n v="648000"/>
    <n v="625000"/>
    <n v="440640.00000000012"/>
    <n v="437640.00000000012"/>
    <n v="207359.99999999991"/>
    <n v="187359.99999999991"/>
    <n v="-20000"/>
    <n v="-9.6450617283950643E-2"/>
  </r>
  <r>
    <x v="9"/>
    <x v="2"/>
    <n v="688000"/>
    <n v="673000"/>
    <n v="467840.00000000012"/>
    <n v="471840.00000000012"/>
    <n v="220159.99999999991"/>
    <n v="201159.99999999991"/>
    <n v="-19000"/>
    <n v="-8.6300872093023284E-2"/>
  </r>
  <r>
    <x v="9"/>
    <x v="3"/>
    <n v="728000"/>
    <n v="721000"/>
    <n v="495040.00000000012"/>
    <n v="485040.00000000012"/>
    <n v="232959.99999999991"/>
    <n v="235959.99999999991"/>
    <n v="3000"/>
    <n v="1.2877747252747261E-2"/>
  </r>
  <r>
    <x v="9"/>
    <x v="4"/>
    <n v="768000"/>
    <n v="769000"/>
    <n v="522240.00000000012"/>
    <n v="519240.00000000012"/>
    <n v="245759.99999999991"/>
    <n v="249759.99999999991"/>
    <n v="4000"/>
    <n v="1.6276041666666671E-2"/>
  </r>
  <r>
    <x v="10"/>
    <x v="0"/>
    <n v="620000"/>
    <n v="604000"/>
    <n v="421600.00000000012"/>
    <n v="414600.00000000012"/>
    <n v="198399.99999999991"/>
    <n v="189399.99999999991"/>
    <n v="-9000"/>
    <n v="-4.5362903225806467E-2"/>
  </r>
  <r>
    <x v="10"/>
    <x v="1"/>
    <n v="660000"/>
    <n v="652000"/>
    <n v="448800.00000000012"/>
    <n v="448800.00000000012"/>
    <n v="211199.99999999991"/>
    <n v="203199.99999999991"/>
    <n v="-8000"/>
    <n v="-3.7878787878787887E-2"/>
  </r>
  <r>
    <x v="10"/>
    <x v="2"/>
    <n v="700000"/>
    <n v="700000"/>
    <n v="476000.00000000012"/>
    <n v="483000.00000000012"/>
    <n v="223999.99999999991"/>
    <n v="216999.99999999991"/>
    <n v="-7000"/>
    <n v="-3.1250000000000007E-2"/>
  </r>
  <r>
    <x v="10"/>
    <x v="3"/>
    <n v="740000"/>
    <n v="748000"/>
    <n v="503200.00000000012"/>
    <n v="496200.00000000012"/>
    <n v="236799.99999999991"/>
    <n v="251799.99999999991"/>
    <n v="15000"/>
    <n v="6.3344594594594614E-2"/>
  </r>
  <r>
    <x v="10"/>
    <x v="4"/>
    <n v="780000"/>
    <n v="796000"/>
    <n v="530400"/>
    <n v="530400"/>
    <n v="249600"/>
    <n v="265600"/>
    <n v="16000"/>
    <n v="6.4102564102564097E-2"/>
  </r>
  <r>
    <x v="11"/>
    <x v="0"/>
    <n v="632000"/>
    <n v="631000"/>
    <n v="429760.00000000012"/>
    <n v="425760.00000000012"/>
    <n v="202239.99999999991"/>
    <n v="205239.99999999991"/>
    <n v="3000"/>
    <n v="1.4833860759493681E-2"/>
  </r>
  <r>
    <x v="11"/>
    <x v="1"/>
    <n v="672000"/>
    <n v="679000"/>
    <n v="456960.00000000012"/>
    <n v="459960.00000000012"/>
    <n v="215039.99999999991"/>
    <n v="219039.99999999991"/>
    <n v="4000"/>
    <n v="1.8601190476190479E-2"/>
  </r>
  <r>
    <x v="11"/>
    <x v="2"/>
    <n v="712000"/>
    <n v="727000"/>
    <n v="484160.00000000012"/>
    <n v="494160.00000000012"/>
    <n v="227839.99999999991"/>
    <n v="232839.99999999991"/>
    <n v="5000"/>
    <n v="2.1945224719101129E-2"/>
  </r>
  <r>
    <x v="11"/>
    <x v="3"/>
    <n v="752000"/>
    <n v="775000"/>
    <n v="511360.00000000012"/>
    <n v="507360.00000000012"/>
    <n v="240639.99999999991"/>
    <n v="267639.99999999988"/>
    <n v="27000"/>
    <n v="0.1122007978723405"/>
  </r>
  <r>
    <x v="11"/>
    <x v="4"/>
    <n v="792000"/>
    <n v="823000"/>
    <n v="538560"/>
    <n v="541560"/>
    <n v="253440"/>
    <n v="281440"/>
    <n v="28000"/>
    <n v="0.110479797979798"/>
  </r>
  <r>
    <x v="12"/>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7AE02-DD6D-4ACA-B4A0-CEAEA991D5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C26" firstHeaderRow="0" firstDataRow="1" firstDataCol="1"/>
  <pivotFields count="10">
    <pivotField showAll="0"/>
    <pivotField axis="axisRow" showAll="0">
      <items count="7">
        <item x="4"/>
        <item x="3"/>
        <item x="1"/>
        <item x="2"/>
        <item x="0"/>
        <item h="1" x="5"/>
        <item t="default"/>
      </items>
    </pivotField>
    <pivotField showAll="0"/>
    <pivotField showAll="0"/>
    <pivotField showAll="0"/>
    <pivotField showAll="0"/>
    <pivotField dataField="1"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Budget Profit" fld="6" baseField="0" baseItem="0"/>
    <dataField name="Sum of Actual Profit" fld="7"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F9E5C-2708-4336-BE00-FF3E4FFF7E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C17" firstHeaderRow="0" firstDataRow="1" firstDataCol="1"/>
  <pivotFields count="10">
    <pivotField showAll="0"/>
    <pivotField axis="axisRow" showAll="0">
      <items count="7">
        <item x="4"/>
        <item x="3"/>
        <item x="1"/>
        <item x="2"/>
        <item x="0"/>
        <item h="1" x="5"/>
        <item t="default"/>
      </items>
    </pivotField>
    <pivotField showAll="0"/>
    <pivotField showAll="0"/>
    <pivotField dataField="1" showAll="0"/>
    <pivotField dataField="1"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Budget Expense" fld="4" baseField="0" baseItem="0"/>
    <dataField name="Sum of Actual Expense" fld="5"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F8B1F-00F7-43D7-B83A-9F5E504410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9" firstHeaderRow="0" firstDataRow="1" firstDataCol="1"/>
  <pivotFields count="10">
    <pivotField showAll="0"/>
    <pivotField axis="axisRow" showAll="0">
      <items count="7">
        <item x="4"/>
        <item x="3"/>
        <item x="1"/>
        <item x="2"/>
        <item x="0"/>
        <item h="1" x="5"/>
        <item t="default"/>
      </items>
    </pivotField>
    <pivotField dataField="1" showAll="0"/>
    <pivotField dataField="1"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Budget Revenue" fld="2" baseField="0" baseItem="0"/>
    <dataField name="Sum of Actual Revenue" fld="3"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F1E6F-CB67-42BF-8A5D-2E0DF55DFC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0:F26" firstHeaderRow="1" firstDataRow="1" firstDataCol="1"/>
  <pivotFields count="10">
    <pivotField showAll="0"/>
    <pivotField axis="axisRow" showAll="0">
      <items count="7">
        <item x="4"/>
        <item x="3"/>
        <item x="1"/>
        <item x="2"/>
        <item x="0"/>
        <item h="1" x="5"/>
        <item t="default"/>
      </items>
    </pivotField>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Variance %" fld="9" baseField="0" baseItem="0"/>
  </dataFields>
  <formats count="1">
    <format dxfId="1">
      <pivotArea dataOnly="0" labelOnly="1" outline="0" axis="axisValues" fieldPosition="0"/>
    </format>
  </format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6EEEED-9B41-4242-9DA0-5EA781F4C9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K17" firstHeaderRow="1" firstDataRow="2" firstDataCol="1"/>
  <pivotFields count="10">
    <pivotField axis="axisRow" showAll="0">
      <items count="14">
        <item x="0"/>
        <item x="1"/>
        <item x="2"/>
        <item x="3"/>
        <item x="4"/>
        <item x="5"/>
        <item x="6"/>
        <item x="7"/>
        <item x="8"/>
        <item x="9"/>
        <item x="10"/>
        <item x="11"/>
        <item x="12"/>
        <item t="default"/>
      </items>
    </pivotField>
    <pivotField axis="axisCol" showAll="0">
      <items count="7">
        <item x="4"/>
        <item x="3"/>
        <item x="1"/>
        <item x="2"/>
        <item x="0"/>
        <item h="1" x="5"/>
        <item t="default"/>
      </items>
    </pivotField>
    <pivotField showAll="0"/>
    <pivotField showAll="0"/>
    <pivotField showAll="0"/>
    <pivotField showAll="0"/>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Variance Profit" fld="8" baseField="0" baseItem="0"/>
  </dataFields>
  <chartFormats count="84">
    <chartFormat chart="2" format="5" series="1">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3">
          <reference field="4294967294" count="1" selected="0">
            <x v="0"/>
          </reference>
          <reference field="0" count="1" selected="0">
            <x v="0"/>
          </reference>
          <reference field="1" count="1" selected="0">
            <x v="0"/>
          </reference>
        </references>
      </pivotArea>
    </chartFormat>
    <chartFormat chart="2" format="7">
      <pivotArea type="data" outline="0" fieldPosition="0">
        <references count="3">
          <reference field="4294967294" count="1" selected="0">
            <x v="0"/>
          </reference>
          <reference field="0" count="1" selected="0">
            <x v="1"/>
          </reference>
          <reference field="1" count="1" selected="0">
            <x v="0"/>
          </reference>
        </references>
      </pivotArea>
    </chartFormat>
    <chartFormat chart="2" format="8">
      <pivotArea type="data" outline="0" fieldPosition="0">
        <references count="3">
          <reference field="4294967294" count="1" selected="0">
            <x v="0"/>
          </reference>
          <reference field="0" count="1" selected="0">
            <x v="2"/>
          </reference>
          <reference field="1" count="1" selected="0">
            <x v="0"/>
          </reference>
        </references>
      </pivotArea>
    </chartFormat>
    <chartFormat chart="2" format="9">
      <pivotArea type="data" outline="0" fieldPosition="0">
        <references count="3">
          <reference field="4294967294" count="1" selected="0">
            <x v="0"/>
          </reference>
          <reference field="0" count="1" selected="0">
            <x v="3"/>
          </reference>
          <reference field="1" count="1" selected="0">
            <x v="0"/>
          </reference>
        </references>
      </pivotArea>
    </chartFormat>
    <chartFormat chart="2" format="10">
      <pivotArea type="data" outline="0" fieldPosition="0">
        <references count="3">
          <reference field="4294967294" count="1" selected="0">
            <x v="0"/>
          </reference>
          <reference field="0" count="1" selected="0">
            <x v="4"/>
          </reference>
          <reference field="1" count="1" selected="0">
            <x v="0"/>
          </reference>
        </references>
      </pivotArea>
    </chartFormat>
    <chartFormat chart="2" format="11">
      <pivotArea type="data" outline="0" fieldPosition="0">
        <references count="3">
          <reference field="4294967294" count="1" selected="0">
            <x v="0"/>
          </reference>
          <reference field="0" count="1" selected="0">
            <x v="5"/>
          </reference>
          <reference field="1" count="1" selected="0">
            <x v="0"/>
          </reference>
        </references>
      </pivotArea>
    </chartFormat>
    <chartFormat chart="2" format="12">
      <pivotArea type="data" outline="0" fieldPosition="0">
        <references count="3">
          <reference field="4294967294" count="1" selected="0">
            <x v="0"/>
          </reference>
          <reference field="0" count="1" selected="0">
            <x v="6"/>
          </reference>
          <reference field="1" count="1" selected="0">
            <x v="0"/>
          </reference>
        </references>
      </pivotArea>
    </chartFormat>
    <chartFormat chart="2" format="13">
      <pivotArea type="data" outline="0" fieldPosition="0">
        <references count="3">
          <reference field="4294967294" count="1" selected="0">
            <x v="0"/>
          </reference>
          <reference field="0" count="1" selected="0">
            <x v="7"/>
          </reference>
          <reference field="1" count="1" selected="0">
            <x v="0"/>
          </reference>
        </references>
      </pivotArea>
    </chartFormat>
    <chartFormat chart="2" format="14">
      <pivotArea type="data" outline="0" fieldPosition="0">
        <references count="3">
          <reference field="4294967294" count="1" selected="0">
            <x v="0"/>
          </reference>
          <reference field="0" count="1" selected="0">
            <x v="8"/>
          </reference>
          <reference field="1" count="1" selected="0">
            <x v="0"/>
          </reference>
        </references>
      </pivotArea>
    </chartFormat>
    <chartFormat chart="2" format="15">
      <pivotArea type="data" outline="0" fieldPosition="0">
        <references count="3">
          <reference field="4294967294" count="1" selected="0">
            <x v="0"/>
          </reference>
          <reference field="0" count="1" selected="0">
            <x v="9"/>
          </reference>
          <reference field="1" count="1" selected="0">
            <x v="0"/>
          </reference>
        </references>
      </pivotArea>
    </chartFormat>
    <chartFormat chart="2" format="16">
      <pivotArea type="data" outline="0" fieldPosition="0">
        <references count="3">
          <reference field="4294967294" count="1" selected="0">
            <x v="0"/>
          </reference>
          <reference field="0" count="1" selected="0">
            <x v="10"/>
          </reference>
          <reference field="1" count="1" selected="0">
            <x v="0"/>
          </reference>
        </references>
      </pivotArea>
    </chartFormat>
    <chartFormat chart="2" format="17">
      <pivotArea type="data" outline="0" fieldPosition="0">
        <references count="3">
          <reference field="4294967294" count="1" selected="0">
            <x v="0"/>
          </reference>
          <reference field="0" count="1" selected="0">
            <x v="11"/>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3">
          <reference field="4294967294" count="1" selected="0">
            <x v="0"/>
          </reference>
          <reference field="0" count="1" selected="0">
            <x v="0"/>
          </reference>
          <reference field="1" count="1" selected="0">
            <x v="1"/>
          </reference>
        </references>
      </pivotArea>
    </chartFormat>
    <chartFormat chart="2" format="20">
      <pivotArea type="data" outline="0" fieldPosition="0">
        <references count="3">
          <reference field="4294967294" count="1" selected="0">
            <x v="0"/>
          </reference>
          <reference field="0" count="1" selected="0">
            <x v="1"/>
          </reference>
          <reference field="1" count="1" selected="0">
            <x v="1"/>
          </reference>
        </references>
      </pivotArea>
    </chartFormat>
    <chartFormat chart="2" format="21">
      <pivotArea type="data" outline="0" fieldPosition="0">
        <references count="3">
          <reference field="4294967294" count="1" selected="0">
            <x v="0"/>
          </reference>
          <reference field="0" count="1" selected="0">
            <x v="2"/>
          </reference>
          <reference field="1" count="1" selected="0">
            <x v="1"/>
          </reference>
        </references>
      </pivotArea>
    </chartFormat>
    <chartFormat chart="2" format="22">
      <pivotArea type="data" outline="0" fieldPosition="0">
        <references count="3">
          <reference field="4294967294" count="1" selected="0">
            <x v="0"/>
          </reference>
          <reference field="0" count="1" selected="0">
            <x v="3"/>
          </reference>
          <reference field="1" count="1" selected="0">
            <x v="1"/>
          </reference>
        </references>
      </pivotArea>
    </chartFormat>
    <chartFormat chart="2" format="23">
      <pivotArea type="data" outline="0" fieldPosition="0">
        <references count="3">
          <reference field="4294967294" count="1" selected="0">
            <x v="0"/>
          </reference>
          <reference field="0" count="1" selected="0">
            <x v="4"/>
          </reference>
          <reference field="1" count="1" selected="0">
            <x v="1"/>
          </reference>
        </references>
      </pivotArea>
    </chartFormat>
    <chartFormat chart="2" format="24">
      <pivotArea type="data" outline="0" fieldPosition="0">
        <references count="3">
          <reference field="4294967294" count="1" selected="0">
            <x v="0"/>
          </reference>
          <reference field="0" count="1" selected="0">
            <x v="5"/>
          </reference>
          <reference field="1" count="1" selected="0">
            <x v="1"/>
          </reference>
        </references>
      </pivotArea>
    </chartFormat>
    <chartFormat chart="2" format="25">
      <pivotArea type="data" outline="0" fieldPosition="0">
        <references count="3">
          <reference field="4294967294" count="1" selected="0">
            <x v="0"/>
          </reference>
          <reference field="0" count="1" selected="0">
            <x v="6"/>
          </reference>
          <reference field="1" count="1" selected="0">
            <x v="1"/>
          </reference>
        </references>
      </pivotArea>
    </chartFormat>
    <chartFormat chart="2" format="26">
      <pivotArea type="data" outline="0" fieldPosition="0">
        <references count="3">
          <reference field="4294967294" count="1" selected="0">
            <x v="0"/>
          </reference>
          <reference field="0" count="1" selected="0">
            <x v="7"/>
          </reference>
          <reference field="1" count="1" selected="0">
            <x v="1"/>
          </reference>
        </references>
      </pivotArea>
    </chartFormat>
    <chartFormat chart="2" format="27">
      <pivotArea type="data" outline="0" fieldPosition="0">
        <references count="3">
          <reference field="4294967294" count="1" selected="0">
            <x v="0"/>
          </reference>
          <reference field="0" count="1" selected="0">
            <x v="8"/>
          </reference>
          <reference field="1" count="1" selected="0">
            <x v="1"/>
          </reference>
        </references>
      </pivotArea>
    </chartFormat>
    <chartFormat chart="2" format="28">
      <pivotArea type="data" outline="0" fieldPosition="0">
        <references count="3">
          <reference field="4294967294" count="1" selected="0">
            <x v="0"/>
          </reference>
          <reference field="0" count="1" selected="0">
            <x v="9"/>
          </reference>
          <reference field="1" count="1" selected="0">
            <x v="1"/>
          </reference>
        </references>
      </pivotArea>
    </chartFormat>
    <chartFormat chart="2" format="29">
      <pivotArea type="data" outline="0" fieldPosition="0">
        <references count="3">
          <reference field="4294967294" count="1" selected="0">
            <x v="0"/>
          </reference>
          <reference field="0" count="1" selected="0">
            <x v="10"/>
          </reference>
          <reference field="1" count="1" selected="0">
            <x v="1"/>
          </reference>
        </references>
      </pivotArea>
    </chartFormat>
    <chartFormat chart="2" format="30">
      <pivotArea type="data" outline="0" fieldPosition="0">
        <references count="3">
          <reference field="4294967294" count="1" selected="0">
            <x v="0"/>
          </reference>
          <reference field="0" count="1" selected="0">
            <x v="11"/>
          </reference>
          <reference field="1" count="1" selected="0">
            <x v="1"/>
          </reference>
        </references>
      </pivotArea>
    </chartFormat>
    <chartFormat chart="2" format="31" series="1">
      <pivotArea type="data" outline="0" fieldPosition="0">
        <references count="2">
          <reference field="4294967294" count="1" selected="0">
            <x v="0"/>
          </reference>
          <reference field="1" count="1" selected="0">
            <x v="2"/>
          </reference>
        </references>
      </pivotArea>
    </chartFormat>
    <chartFormat chart="2" format="32">
      <pivotArea type="data" outline="0" fieldPosition="0">
        <references count="3">
          <reference field="4294967294" count="1" selected="0">
            <x v="0"/>
          </reference>
          <reference field="0" count="1" selected="0">
            <x v="0"/>
          </reference>
          <reference field="1" count="1" selected="0">
            <x v="2"/>
          </reference>
        </references>
      </pivotArea>
    </chartFormat>
    <chartFormat chart="2" format="33">
      <pivotArea type="data" outline="0" fieldPosition="0">
        <references count="3">
          <reference field="4294967294" count="1" selected="0">
            <x v="0"/>
          </reference>
          <reference field="0" count="1" selected="0">
            <x v="1"/>
          </reference>
          <reference field="1" count="1" selected="0">
            <x v="2"/>
          </reference>
        </references>
      </pivotArea>
    </chartFormat>
    <chartFormat chart="2" format="34">
      <pivotArea type="data" outline="0" fieldPosition="0">
        <references count="3">
          <reference field="4294967294" count="1" selected="0">
            <x v="0"/>
          </reference>
          <reference field="0" count="1" selected="0">
            <x v="2"/>
          </reference>
          <reference field="1" count="1" selected="0">
            <x v="2"/>
          </reference>
        </references>
      </pivotArea>
    </chartFormat>
    <chartFormat chart="2" format="35">
      <pivotArea type="data" outline="0" fieldPosition="0">
        <references count="3">
          <reference field="4294967294" count="1" selected="0">
            <x v="0"/>
          </reference>
          <reference field="0" count="1" selected="0">
            <x v="3"/>
          </reference>
          <reference field="1" count="1" selected="0">
            <x v="2"/>
          </reference>
        </references>
      </pivotArea>
    </chartFormat>
    <chartFormat chart="2" format="36">
      <pivotArea type="data" outline="0" fieldPosition="0">
        <references count="3">
          <reference field="4294967294" count="1" selected="0">
            <x v="0"/>
          </reference>
          <reference field="0" count="1" selected="0">
            <x v="4"/>
          </reference>
          <reference field="1" count="1" selected="0">
            <x v="2"/>
          </reference>
        </references>
      </pivotArea>
    </chartFormat>
    <chartFormat chart="2" format="37">
      <pivotArea type="data" outline="0" fieldPosition="0">
        <references count="3">
          <reference field="4294967294" count="1" selected="0">
            <x v="0"/>
          </reference>
          <reference field="0" count="1" selected="0">
            <x v="5"/>
          </reference>
          <reference field="1" count="1" selected="0">
            <x v="2"/>
          </reference>
        </references>
      </pivotArea>
    </chartFormat>
    <chartFormat chart="2" format="38">
      <pivotArea type="data" outline="0" fieldPosition="0">
        <references count="3">
          <reference field="4294967294" count="1" selected="0">
            <x v="0"/>
          </reference>
          <reference field="0" count="1" selected="0">
            <x v="6"/>
          </reference>
          <reference field="1" count="1" selected="0">
            <x v="2"/>
          </reference>
        </references>
      </pivotArea>
    </chartFormat>
    <chartFormat chart="2" format="39">
      <pivotArea type="data" outline="0" fieldPosition="0">
        <references count="3">
          <reference field="4294967294" count="1" selected="0">
            <x v="0"/>
          </reference>
          <reference field="0" count="1" selected="0">
            <x v="7"/>
          </reference>
          <reference field="1" count="1" selected="0">
            <x v="2"/>
          </reference>
        </references>
      </pivotArea>
    </chartFormat>
    <chartFormat chart="2" format="40">
      <pivotArea type="data" outline="0" fieldPosition="0">
        <references count="3">
          <reference field="4294967294" count="1" selected="0">
            <x v="0"/>
          </reference>
          <reference field="0" count="1" selected="0">
            <x v="8"/>
          </reference>
          <reference field="1" count="1" selected="0">
            <x v="2"/>
          </reference>
        </references>
      </pivotArea>
    </chartFormat>
    <chartFormat chart="2" format="41">
      <pivotArea type="data" outline="0" fieldPosition="0">
        <references count="3">
          <reference field="4294967294" count="1" selected="0">
            <x v="0"/>
          </reference>
          <reference field="0" count="1" selected="0">
            <x v="9"/>
          </reference>
          <reference field="1" count="1" selected="0">
            <x v="2"/>
          </reference>
        </references>
      </pivotArea>
    </chartFormat>
    <chartFormat chart="2" format="42">
      <pivotArea type="data" outline="0" fieldPosition="0">
        <references count="3">
          <reference field="4294967294" count="1" selected="0">
            <x v="0"/>
          </reference>
          <reference field="0" count="1" selected="0">
            <x v="10"/>
          </reference>
          <reference field="1" count="1" selected="0">
            <x v="2"/>
          </reference>
        </references>
      </pivotArea>
    </chartFormat>
    <chartFormat chart="2" format="43">
      <pivotArea type="data" outline="0" fieldPosition="0">
        <references count="3">
          <reference field="4294967294" count="1" selected="0">
            <x v="0"/>
          </reference>
          <reference field="0" count="1" selected="0">
            <x v="11"/>
          </reference>
          <reference field="1" count="1" selected="0">
            <x v="2"/>
          </reference>
        </references>
      </pivotArea>
    </chartFormat>
    <chartFormat chart="2" format="44" series="1">
      <pivotArea type="data" outline="0" fieldPosition="0">
        <references count="2">
          <reference field="4294967294" count="1" selected="0">
            <x v="0"/>
          </reference>
          <reference field="1" count="1" selected="0">
            <x v="3"/>
          </reference>
        </references>
      </pivotArea>
    </chartFormat>
    <chartFormat chart="2" format="45">
      <pivotArea type="data" outline="0" fieldPosition="0">
        <references count="3">
          <reference field="4294967294" count="1" selected="0">
            <x v="0"/>
          </reference>
          <reference field="0" count="1" selected="0">
            <x v="0"/>
          </reference>
          <reference field="1" count="1" selected="0">
            <x v="3"/>
          </reference>
        </references>
      </pivotArea>
    </chartFormat>
    <chartFormat chart="2" format="46">
      <pivotArea type="data" outline="0" fieldPosition="0">
        <references count="3">
          <reference field="4294967294" count="1" selected="0">
            <x v="0"/>
          </reference>
          <reference field="0" count="1" selected="0">
            <x v="1"/>
          </reference>
          <reference field="1" count="1" selected="0">
            <x v="3"/>
          </reference>
        </references>
      </pivotArea>
    </chartFormat>
    <chartFormat chart="2" format="47">
      <pivotArea type="data" outline="0" fieldPosition="0">
        <references count="3">
          <reference field="4294967294" count="1" selected="0">
            <x v="0"/>
          </reference>
          <reference field="0" count="1" selected="0">
            <x v="2"/>
          </reference>
          <reference field="1" count="1" selected="0">
            <x v="3"/>
          </reference>
        </references>
      </pivotArea>
    </chartFormat>
    <chartFormat chart="2" format="48">
      <pivotArea type="data" outline="0" fieldPosition="0">
        <references count="3">
          <reference field="4294967294" count="1" selected="0">
            <x v="0"/>
          </reference>
          <reference field="0" count="1" selected="0">
            <x v="3"/>
          </reference>
          <reference field="1" count="1" selected="0">
            <x v="3"/>
          </reference>
        </references>
      </pivotArea>
    </chartFormat>
    <chartFormat chart="2" format="49">
      <pivotArea type="data" outline="0" fieldPosition="0">
        <references count="3">
          <reference field="4294967294" count="1" selected="0">
            <x v="0"/>
          </reference>
          <reference field="0" count="1" selected="0">
            <x v="4"/>
          </reference>
          <reference field="1" count="1" selected="0">
            <x v="3"/>
          </reference>
        </references>
      </pivotArea>
    </chartFormat>
    <chartFormat chart="2" format="50">
      <pivotArea type="data" outline="0" fieldPosition="0">
        <references count="3">
          <reference field="4294967294" count="1" selected="0">
            <x v="0"/>
          </reference>
          <reference field="0" count="1" selected="0">
            <x v="5"/>
          </reference>
          <reference field="1" count="1" selected="0">
            <x v="3"/>
          </reference>
        </references>
      </pivotArea>
    </chartFormat>
    <chartFormat chart="2" format="51">
      <pivotArea type="data" outline="0" fieldPosition="0">
        <references count="3">
          <reference field="4294967294" count="1" selected="0">
            <x v="0"/>
          </reference>
          <reference field="0" count="1" selected="0">
            <x v="6"/>
          </reference>
          <reference field="1" count="1" selected="0">
            <x v="3"/>
          </reference>
        </references>
      </pivotArea>
    </chartFormat>
    <chartFormat chart="2" format="52">
      <pivotArea type="data" outline="0" fieldPosition="0">
        <references count="3">
          <reference field="4294967294" count="1" selected="0">
            <x v="0"/>
          </reference>
          <reference field="0" count="1" selected="0">
            <x v="7"/>
          </reference>
          <reference field="1" count="1" selected="0">
            <x v="3"/>
          </reference>
        </references>
      </pivotArea>
    </chartFormat>
    <chartFormat chart="2" format="53">
      <pivotArea type="data" outline="0" fieldPosition="0">
        <references count="3">
          <reference field="4294967294" count="1" selected="0">
            <x v="0"/>
          </reference>
          <reference field="0" count="1" selected="0">
            <x v="8"/>
          </reference>
          <reference field="1" count="1" selected="0">
            <x v="3"/>
          </reference>
        </references>
      </pivotArea>
    </chartFormat>
    <chartFormat chart="2" format="54">
      <pivotArea type="data" outline="0" fieldPosition="0">
        <references count="3">
          <reference field="4294967294" count="1" selected="0">
            <x v="0"/>
          </reference>
          <reference field="0" count="1" selected="0">
            <x v="9"/>
          </reference>
          <reference field="1" count="1" selected="0">
            <x v="3"/>
          </reference>
        </references>
      </pivotArea>
    </chartFormat>
    <chartFormat chart="2" format="55">
      <pivotArea type="data" outline="0" fieldPosition="0">
        <references count="3">
          <reference field="4294967294" count="1" selected="0">
            <x v="0"/>
          </reference>
          <reference field="0" count="1" selected="0">
            <x v="10"/>
          </reference>
          <reference field="1" count="1" selected="0">
            <x v="3"/>
          </reference>
        </references>
      </pivotArea>
    </chartFormat>
    <chartFormat chart="2" format="56">
      <pivotArea type="data" outline="0" fieldPosition="0">
        <references count="3">
          <reference field="4294967294" count="1" selected="0">
            <x v="0"/>
          </reference>
          <reference field="0" count="1" selected="0">
            <x v="11"/>
          </reference>
          <reference field="1" count="1" selected="0">
            <x v="3"/>
          </reference>
        </references>
      </pivotArea>
    </chartFormat>
    <chartFormat chart="2" format="57" series="1">
      <pivotArea type="data" outline="0" fieldPosition="0">
        <references count="2">
          <reference field="4294967294" count="1" selected="0">
            <x v="0"/>
          </reference>
          <reference field="1" count="1" selected="0">
            <x v="4"/>
          </reference>
        </references>
      </pivotArea>
    </chartFormat>
    <chartFormat chart="2" format="58">
      <pivotArea type="data" outline="0" fieldPosition="0">
        <references count="3">
          <reference field="4294967294" count="1" selected="0">
            <x v="0"/>
          </reference>
          <reference field="0" count="1" selected="0">
            <x v="0"/>
          </reference>
          <reference field="1" count="1" selected="0">
            <x v="4"/>
          </reference>
        </references>
      </pivotArea>
    </chartFormat>
    <chartFormat chart="2" format="59">
      <pivotArea type="data" outline="0" fieldPosition="0">
        <references count="3">
          <reference field="4294967294" count="1" selected="0">
            <x v="0"/>
          </reference>
          <reference field="0" count="1" selected="0">
            <x v="1"/>
          </reference>
          <reference field="1" count="1" selected="0">
            <x v="4"/>
          </reference>
        </references>
      </pivotArea>
    </chartFormat>
    <chartFormat chart="2" format="60">
      <pivotArea type="data" outline="0" fieldPosition="0">
        <references count="3">
          <reference field="4294967294" count="1" selected="0">
            <x v="0"/>
          </reference>
          <reference field="0" count="1" selected="0">
            <x v="2"/>
          </reference>
          <reference field="1" count="1" selected="0">
            <x v="4"/>
          </reference>
        </references>
      </pivotArea>
    </chartFormat>
    <chartFormat chart="2" format="61">
      <pivotArea type="data" outline="0" fieldPosition="0">
        <references count="3">
          <reference field="4294967294" count="1" selected="0">
            <x v="0"/>
          </reference>
          <reference field="0" count="1" selected="0">
            <x v="3"/>
          </reference>
          <reference field="1" count="1" selected="0">
            <x v="4"/>
          </reference>
        </references>
      </pivotArea>
    </chartFormat>
    <chartFormat chart="2" format="62">
      <pivotArea type="data" outline="0" fieldPosition="0">
        <references count="3">
          <reference field="4294967294" count="1" selected="0">
            <x v="0"/>
          </reference>
          <reference field="0" count="1" selected="0">
            <x v="4"/>
          </reference>
          <reference field="1" count="1" selected="0">
            <x v="4"/>
          </reference>
        </references>
      </pivotArea>
    </chartFormat>
    <chartFormat chart="2" format="63">
      <pivotArea type="data" outline="0" fieldPosition="0">
        <references count="3">
          <reference field="4294967294" count="1" selected="0">
            <x v="0"/>
          </reference>
          <reference field="0" count="1" selected="0">
            <x v="5"/>
          </reference>
          <reference field="1" count="1" selected="0">
            <x v="4"/>
          </reference>
        </references>
      </pivotArea>
    </chartFormat>
    <chartFormat chart="2" format="64">
      <pivotArea type="data" outline="0" fieldPosition="0">
        <references count="3">
          <reference field="4294967294" count="1" selected="0">
            <x v="0"/>
          </reference>
          <reference field="0" count="1" selected="0">
            <x v="6"/>
          </reference>
          <reference field="1" count="1" selected="0">
            <x v="4"/>
          </reference>
        </references>
      </pivotArea>
    </chartFormat>
    <chartFormat chart="2" format="65">
      <pivotArea type="data" outline="0" fieldPosition="0">
        <references count="3">
          <reference field="4294967294" count="1" selected="0">
            <x v="0"/>
          </reference>
          <reference field="0" count="1" selected="0">
            <x v="7"/>
          </reference>
          <reference field="1" count="1" selected="0">
            <x v="4"/>
          </reference>
        </references>
      </pivotArea>
    </chartFormat>
    <chartFormat chart="2" format="66">
      <pivotArea type="data" outline="0" fieldPosition="0">
        <references count="3">
          <reference field="4294967294" count="1" selected="0">
            <x v="0"/>
          </reference>
          <reference field="0" count="1" selected="0">
            <x v="8"/>
          </reference>
          <reference field="1" count="1" selected="0">
            <x v="4"/>
          </reference>
        </references>
      </pivotArea>
    </chartFormat>
    <chartFormat chart="2" format="67">
      <pivotArea type="data" outline="0" fieldPosition="0">
        <references count="3">
          <reference field="4294967294" count="1" selected="0">
            <x v="0"/>
          </reference>
          <reference field="0" count="1" selected="0">
            <x v="9"/>
          </reference>
          <reference field="1" count="1" selected="0">
            <x v="4"/>
          </reference>
        </references>
      </pivotArea>
    </chartFormat>
    <chartFormat chart="2" format="68">
      <pivotArea type="data" outline="0" fieldPosition="0">
        <references count="3">
          <reference field="4294967294" count="1" selected="0">
            <x v="0"/>
          </reference>
          <reference field="0" count="1" selected="0">
            <x v="10"/>
          </reference>
          <reference field="1" count="1" selected="0">
            <x v="4"/>
          </reference>
        </references>
      </pivotArea>
    </chartFormat>
    <chartFormat chart="2" format="69">
      <pivotArea type="data" outline="0" fieldPosition="0">
        <references count="3">
          <reference field="4294967294" count="1" selected="0">
            <x v="0"/>
          </reference>
          <reference field="0" count="1" selected="0">
            <x v="11"/>
          </reference>
          <reference field="1" count="1" selected="0">
            <x v="4"/>
          </reference>
        </references>
      </pivotArea>
    </chartFormat>
    <chartFormat chart="2" format="70" series="1">
      <pivotArea type="data" outline="0" fieldPosition="0">
        <references count="2">
          <reference field="4294967294" count="1" selected="0">
            <x v="0"/>
          </reference>
          <reference field="1" count="1" selected="0">
            <x v="5"/>
          </reference>
        </references>
      </pivotArea>
    </chartFormat>
    <chartFormat chart="2" format="71">
      <pivotArea type="data" outline="0" fieldPosition="0">
        <references count="3">
          <reference field="4294967294" count="1" selected="0">
            <x v="0"/>
          </reference>
          <reference field="0" count="1" selected="0">
            <x v="12"/>
          </reference>
          <reference field="1" count="1" selected="0">
            <x v="0"/>
          </reference>
        </references>
      </pivotArea>
    </chartFormat>
    <chartFormat chart="2" format="72">
      <pivotArea type="data" outline="0" fieldPosition="0">
        <references count="3">
          <reference field="4294967294" count="1" selected="0">
            <x v="0"/>
          </reference>
          <reference field="0" count="1" selected="0">
            <x v="12"/>
          </reference>
          <reference field="1" count="1" selected="0">
            <x v="1"/>
          </reference>
        </references>
      </pivotArea>
    </chartFormat>
    <chartFormat chart="2" format="73">
      <pivotArea type="data" outline="0" fieldPosition="0">
        <references count="3">
          <reference field="4294967294" count="1" selected="0">
            <x v="0"/>
          </reference>
          <reference field="0" count="1" selected="0">
            <x v="12"/>
          </reference>
          <reference field="1" count="1" selected="0">
            <x v="2"/>
          </reference>
        </references>
      </pivotArea>
    </chartFormat>
    <chartFormat chart="2" format="74">
      <pivotArea type="data" outline="0" fieldPosition="0">
        <references count="3">
          <reference field="4294967294" count="1" selected="0">
            <x v="0"/>
          </reference>
          <reference field="0" count="1" selected="0">
            <x v="12"/>
          </reference>
          <reference field="1" count="1" selected="0">
            <x v="3"/>
          </reference>
        </references>
      </pivotArea>
    </chartFormat>
    <chartFormat chart="2" format="75">
      <pivotArea type="data" outline="0" fieldPosition="0">
        <references count="3">
          <reference field="4294967294" count="1" selected="0">
            <x v="0"/>
          </reference>
          <reference field="0" count="1" selected="0">
            <x v="12"/>
          </reference>
          <reference field="1" count="1" selected="0">
            <x v="4"/>
          </reference>
        </references>
      </pivotArea>
    </chartFormat>
    <chartFormat chart="2" format="76">
      <pivotArea type="data" outline="0" fieldPosition="0">
        <references count="3">
          <reference field="4294967294" count="1" selected="0">
            <x v="0"/>
          </reference>
          <reference field="0" count="1" selected="0">
            <x v="0"/>
          </reference>
          <reference field="1" count="1" selected="0">
            <x v="5"/>
          </reference>
        </references>
      </pivotArea>
    </chartFormat>
    <chartFormat chart="2" format="77">
      <pivotArea type="data" outline="0" fieldPosition="0">
        <references count="3">
          <reference field="4294967294" count="1" selected="0">
            <x v="0"/>
          </reference>
          <reference field="0" count="1" selected="0">
            <x v="1"/>
          </reference>
          <reference field="1" count="1" selected="0">
            <x v="5"/>
          </reference>
        </references>
      </pivotArea>
    </chartFormat>
    <chartFormat chart="2" format="78">
      <pivotArea type="data" outline="0" fieldPosition="0">
        <references count="3">
          <reference field="4294967294" count="1" selected="0">
            <x v="0"/>
          </reference>
          <reference field="0" count="1" selected="0">
            <x v="2"/>
          </reference>
          <reference field="1" count="1" selected="0">
            <x v="5"/>
          </reference>
        </references>
      </pivotArea>
    </chartFormat>
    <chartFormat chart="2" format="79">
      <pivotArea type="data" outline="0" fieldPosition="0">
        <references count="3">
          <reference field="4294967294" count="1" selected="0">
            <x v="0"/>
          </reference>
          <reference field="0" count="1" selected="0">
            <x v="3"/>
          </reference>
          <reference field="1" count="1" selected="0">
            <x v="5"/>
          </reference>
        </references>
      </pivotArea>
    </chartFormat>
    <chartFormat chart="2" format="80">
      <pivotArea type="data" outline="0" fieldPosition="0">
        <references count="3">
          <reference field="4294967294" count="1" selected="0">
            <x v="0"/>
          </reference>
          <reference field="0" count="1" selected="0">
            <x v="4"/>
          </reference>
          <reference field="1" count="1" selected="0">
            <x v="5"/>
          </reference>
        </references>
      </pivotArea>
    </chartFormat>
    <chartFormat chart="2" format="81">
      <pivotArea type="data" outline="0" fieldPosition="0">
        <references count="3">
          <reference field="4294967294" count="1" selected="0">
            <x v="0"/>
          </reference>
          <reference field="0" count="1" selected="0">
            <x v="5"/>
          </reference>
          <reference field="1" count="1" selected="0">
            <x v="5"/>
          </reference>
        </references>
      </pivotArea>
    </chartFormat>
    <chartFormat chart="2" format="82">
      <pivotArea type="data" outline="0" fieldPosition="0">
        <references count="3">
          <reference field="4294967294" count="1" selected="0">
            <x v="0"/>
          </reference>
          <reference field="0" count="1" selected="0">
            <x v="6"/>
          </reference>
          <reference field="1" count="1" selected="0">
            <x v="5"/>
          </reference>
        </references>
      </pivotArea>
    </chartFormat>
    <chartFormat chart="2" format="83">
      <pivotArea type="data" outline="0" fieldPosition="0">
        <references count="3">
          <reference field="4294967294" count="1" selected="0">
            <x v="0"/>
          </reference>
          <reference field="0" count="1" selected="0">
            <x v="7"/>
          </reference>
          <reference field="1" count="1" selected="0">
            <x v="5"/>
          </reference>
        </references>
      </pivotArea>
    </chartFormat>
    <chartFormat chart="2" format="84">
      <pivotArea type="data" outline="0" fieldPosition="0">
        <references count="3">
          <reference field="4294967294" count="1" selected="0">
            <x v="0"/>
          </reference>
          <reference field="0" count="1" selected="0">
            <x v="8"/>
          </reference>
          <reference field="1" count="1" selected="0">
            <x v="5"/>
          </reference>
        </references>
      </pivotArea>
    </chartFormat>
    <chartFormat chart="2" format="85">
      <pivotArea type="data" outline="0" fieldPosition="0">
        <references count="3">
          <reference field="4294967294" count="1" selected="0">
            <x v="0"/>
          </reference>
          <reference field="0" count="1" selected="0">
            <x v="9"/>
          </reference>
          <reference field="1" count="1" selected="0">
            <x v="5"/>
          </reference>
        </references>
      </pivotArea>
    </chartFormat>
    <chartFormat chart="2" format="86">
      <pivotArea type="data" outline="0" fieldPosition="0">
        <references count="3">
          <reference field="4294967294" count="1" selected="0">
            <x v="0"/>
          </reference>
          <reference field="0" count="1" selected="0">
            <x v="10"/>
          </reference>
          <reference field="1" count="1" selected="0">
            <x v="5"/>
          </reference>
        </references>
      </pivotArea>
    </chartFormat>
    <chartFormat chart="2" format="87">
      <pivotArea type="data" outline="0" fieldPosition="0">
        <references count="3">
          <reference field="4294967294" count="1" selected="0">
            <x v="0"/>
          </reference>
          <reference field="0" count="1" selected="0">
            <x v="11"/>
          </reference>
          <reference field="1" count="1" selected="0">
            <x v="5"/>
          </reference>
        </references>
      </pivotArea>
    </chartFormat>
    <chartFormat chart="2" format="88">
      <pivotArea type="data" outline="0" fieldPosition="0">
        <references count="3">
          <reference field="4294967294" count="1" selected="0">
            <x v="0"/>
          </reference>
          <reference field="0" count="1" selected="0">
            <x v="12"/>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7D983D-1673-4B15-9BCC-C1BCDE3DA9B6}" sourceName="Department">
  <pivotTables>
    <pivotTable tabId="2" name="PivotTable2"/>
    <pivotTable tabId="2" name="PivotTable1"/>
    <pivotTable tabId="2" name="PivotTable3"/>
    <pivotTable tabId="2" name="PivotTable5"/>
    <pivotTable tabId="2" name="PivotTable4"/>
  </pivotTables>
  <data>
    <tabular pivotCacheId="852122012">
      <items count="6">
        <i x="4" s="1"/>
        <i x="3" s="1"/>
        <i x="1" s="1"/>
        <i x="2" s="1"/>
        <i x="0"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9A67F3-9DDA-4807-B9D7-123EB4DDC0D7}" sourceName="Month">
  <pivotTables>
    <pivotTable tabId="2" name="PivotTable4"/>
  </pivotTables>
  <data>
    <tabular pivotCacheId="852122012">
      <items count="13">
        <i x="0" s="1"/>
        <i x="1" s="1"/>
        <i x="2" s="1"/>
        <i x="3" s="1"/>
        <i x="4" s="1"/>
        <i x="5" s="1"/>
        <i x="6" s="1"/>
        <i x="7" s="1"/>
        <i x="8" s="1"/>
        <i x="9" s="1"/>
        <i x="10" s="1"/>
        <i x="11"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288537B-0C51-4CB9-90F0-1FC3F0A8BB2C}" cache="Slicer_Department" caption="Department" style="SlicerStyleLight6" rowHeight="257175"/>
  <slicer name="Month" xr10:uid="{8E43CA35-C18D-48D1-AEF1-E4B88678463D}" cache="Slicer_Month" caption="Month" columnCount="2" style="SlicerStyleLight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2264-15F4-42D3-BCF0-7E32E99A7313}">
  <dimension ref="A1:L62"/>
  <sheetViews>
    <sheetView tabSelected="1" topLeftCell="B1" workbookViewId="0">
      <selection activeCell="L4" sqref="L4"/>
    </sheetView>
  </sheetViews>
  <sheetFormatPr defaultRowHeight="15" x14ac:dyDescent="0.25"/>
  <cols>
    <col min="1" max="1" width="15.85546875" style="5" bestFit="1" customWidth="1"/>
    <col min="2" max="2" width="11.7109375" bestFit="1" customWidth="1"/>
    <col min="3" max="8" width="15.7109375" style="22" bestFit="1" customWidth="1"/>
    <col min="9" max="9" width="34.42578125" style="1" customWidth="1"/>
    <col min="10" max="10" width="13" bestFit="1" customWidth="1"/>
    <col min="12" max="12" width="9.5703125" bestFit="1" customWidth="1"/>
  </cols>
  <sheetData>
    <row r="1" spans="1:12" x14ac:dyDescent="0.25">
      <c r="A1" s="8" t="s">
        <v>0</v>
      </c>
      <c r="B1" s="9" t="s">
        <v>1</v>
      </c>
      <c r="C1" s="19" t="s">
        <v>2</v>
      </c>
      <c r="D1" s="19" t="s">
        <v>3</v>
      </c>
      <c r="E1" s="19" t="s">
        <v>4</v>
      </c>
      <c r="F1" s="19" t="s">
        <v>5</v>
      </c>
      <c r="G1" s="19" t="s">
        <v>6</v>
      </c>
      <c r="H1" s="19" t="s">
        <v>7</v>
      </c>
      <c r="I1" s="10" t="s">
        <v>8</v>
      </c>
      <c r="J1" s="9" t="s">
        <v>9</v>
      </c>
    </row>
    <row r="2" spans="1:12" x14ac:dyDescent="0.25">
      <c r="A2" s="11" t="s">
        <v>10</v>
      </c>
      <c r="B2" s="12" t="s">
        <v>11</v>
      </c>
      <c r="C2" s="20">
        <v>500000</v>
      </c>
      <c r="D2" s="20">
        <v>469000</v>
      </c>
      <c r="E2" s="20">
        <v>340000</v>
      </c>
      <c r="F2" s="20">
        <v>327000</v>
      </c>
      <c r="G2" s="20">
        <v>160000</v>
      </c>
      <c r="H2" s="20">
        <v>142000</v>
      </c>
      <c r="I2" s="13">
        <f>H2-G2</f>
        <v>-18000</v>
      </c>
      <c r="J2" s="14">
        <f>(H2-G2)/G2</f>
        <v>-0.1125</v>
      </c>
    </row>
    <row r="3" spans="1:12" x14ac:dyDescent="0.25">
      <c r="A3" s="11" t="s">
        <v>10</v>
      </c>
      <c r="B3" s="12" t="s">
        <v>12</v>
      </c>
      <c r="C3" s="20">
        <v>540000</v>
      </c>
      <c r="D3" s="20">
        <v>517000</v>
      </c>
      <c r="E3" s="20">
        <v>367200</v>
      </c>
      <c r="F3" s="20">
        <v>361200</v>
      </c>
      <c r="G3" s="20">
        <v>172800</v>
      </c>
      <c r="H3" s="20">
        <v>155800</v>
      </c>
      <c r="I3" s="13">
        <f t="shared" ref="I3:I61" si="0">H3-G3</f>
        <v>-17000</v>
      </c>
      <c r="J3" s="14">
        <f t="shared" ref="J3:J61" si="1">(H3-G3)/G3</f>
        <v>-9.8379629629629636E-2</v>
      </c>
    </row>
    <row r="4" spans="1:12" x14ac:dyDescent="0.25">
      <c r="A4" s="11" t="s">
        <v>10</v>
      </c>
      <c r="B4" s="12" t="s">
        <v>13</v>
      </c>
      <c r="C4" s="20">
        <v>580000</v>
      </c>
      <c r="D4" s="20">
        <v>565000</v>
      </c>
      <c r="E4" s="20">
        <v>394400</v>
      </c>
      <c r="F4" s="20">
        <v>395400</v>
      </c>
      <c r="G4" s="20">
        <v>185600</v>
      </c>
      <c r="H4" s="20">
        <v>169600</v>
      </c>
      <c r="I4" s="13">
        <f t="shared" si="0"/>
        <v>-16000</v>
      </c>
      <c r="J4" s="14">
        <f t="shared" si="1"/>
        <v>-8.6206896551724144E-2</v>
      </c>
      <c r="L4" s="22"/>
    </row>
    <row r="5" spans="1:12" x14ac:dyDescent="0.25">
      <c r="A5" s="11" t="s">
        <v>10</v>
      </c>
      <c r="B5" s="12" t="s">
        <v>14</v>
      </c>
      <c r="C5" s="20">
        <v>620000</v>
      </c>
      <c r="D5" s="20">
        <v>613000</v>
      </c>
      <c r="E5" s="20">
        <v>421600.00000000012</v>
      </c>
      <c r="F5" s="20">
        <v>408600.00000000012</v>
      </c>
      <c r="G5" s="20">
        <v>198399.99999999991</v>
      </c>
      <c r="H5" s="20">
        <v>204399.99999999991</v>
      </c>
      <c r="I5" s="13">
        <f t="shared" si="0"/>
        <v>6000</v>
      </c>
      <c r="J5" s="14">
        <f t="shared" si="1"/>
        <v>3.0241935483870983E-2</v>
      </c>
    </row>
    <row r="6" spans="1:12" x14ac:dyDescent="0.25">
      <c r="A6" s="11" t="s">
        <v>10</v>
      </c>
      <c r="B6" s="12" t="s">
        <v>15</v>
      </c>
      <c r="C6" s="20">
        <v>660000</v>
      </c>
      <c r="D6" s="20">
        <v>661000</v>
      </c>
      <c r="E6" s="20">
        <v>448800.00000000012</v>
      </c>
      <c r="F6" s="20">
        <v>442800.00000000012</v>
      </c>
      <c r="G6" s="20">
        <v>211199.99999999991</v>
      </c>
      <c r="H6" s="20">
        <v>218199.99999999991</v>
      </c>
      <c r="I6" s="13">
        <f t="shared" si="0"/>
        <v>7000</v>
      </c>
      <c r="J6" s="14">
        <f t="shared" si="1"/>
        <v>3.3143939393939406E-2</v>
      </c>
    </row>
    <row r="7" spans="1:12" x14ac:dyDescent="0.25">
      <c r="A7" s="11" t="s">
        <v>16</v>
      </c>
      <c r="B7" s="12" t="s">
        <v>11</v>
      </c>
      <c r="C7" s="20">
        <v>512000</v>
      </c>
      <c r="D7" s="20">
        <v>496000</v>
      </c>
      <c r="E7" s="20">
        <v>348160</v>
      </c>
      <c r="F7" s="20">
        <v>338160</v>
      </c>
      <c r="G7" s="20">
        <v>163840</v>
      </c>
      <c r="H7" s="20">
        <v>157840</v>
      </c>
      <c r="I7" s="13">
        <f t="shared" si="0"/>
        <v>-6000</v>
      </c>
      <c r="J7" s="14">
        <f t="shared" si="1"/>
        <v>-3.662109375E-2</v>
      </c>
    </row>
    <row r="8" spans="1:12" x14ac:dyDescent="0.25">
      <c r="A8" s="11" t="s">
        <v>16</v>
      </c>
      <c r="B8" s="12" t="s">
        <v>12</v>
      </c>
      <c r="C8" s="20">
        <v>552000</v>
      </c>
      <c r="D8" s="20">
        <v>544000</v>
      </c>
      <c r="E8" s="20">
        <v>375360</v>
      </c>
      <c r="F8" s="20">
        <v>372360</v>
      </c>
      <c r="G8" s="20">
        <v>176640</v>
      </c>
      <c r="H8" s="20">
        <v>171640</v>
      </c>
      <c r="I8" s="13">
        <f t="shared" si="0"/>
        <v>-5000</v>
      </c>
      <c r="J8" s="14">
        <f t="shared" si="1"/>
        <v>-2.8306159420289856E-2</v>
      </c>
    </row>
    <row r="9" spans="1:12" x14ac:dyDescent="0.25">
      <c r="A9" s="11" t="s">
        <v>16</v>
      </c>
      <c r="B9" s="12" t="s">
        <v>13</v>
      </c>
      <c r="C9" s="20">
        <v>592000</v>
      </c>
      <c r="D9" s="20">
        <v>592000</v>
      </c>
      <c r="E9" s="20">
        <v>402560</v>
      </c>
      <c r="F9" s="20">
        <v>406560</v>
      </c>
      <c r="G9" s="20">
        <v>189440</v>
      </c>
      <c r="H9" s="20">
        <v>185440</v>
      </c>
      <c r="I9" s="13">
        <f t="shared" si="0"/>
        <v>-4000</v>
      </c>
      <c r="J9" s="14">
        <f t="shared" si="1"/>
        <v>-2.1114864864864864E-2</v>
      </c>
    </row>
    <row r="10" spans="1:12" x14ac:dyDescent="0.25">
      <c r="A10" s="11" t="s">
        <v>16</v>
      </c>
      <c r="B10" s="12" t="s">
        <v>14</v>
      </c>
      <c r="C10" s="20">
        <v>632000</v>
      </c>
      <c r="D10" s="20">
        <v>640000</v>
      </c>
      <c r="E10" s="20">
        <v>429760.00000000012</v>
      </c>
      <c r="F10" s="20">
        <v>419760.00000000012</v>
      </c>
      <c r="G10" s="20">
        <v>202239.99999999991</v>
      </c>
      <c r="H10" s="20">
        <v>220239.99999999991</v>
      </c>
      <c r="I10" s="13">
        <f t="shared" si="0"/>
        <v>18000</v>
      </c>
      <c r="J10" s="14">
        <f t="shared" si="1"/>
        <v>8.9003164556962069E-2</v>
      </c>
    </row>
    <row r="11" spans="1:12" x14ac:dyDescent="0.25">
      <c r="A11" s="11" t="s">
        <v>16</v>
      </c>
      <c r="B11" s="12" t="s">
        <v>15</v>
      </c>
      <c r="C11" s="20">
        <v>672000</v>
      </c>
      <c r="D11" s="20">
        <v>688000</v>
      </c>
      <c r="E11" s="20">
        <v>456960.00000000012</v>
      </c>
      <c r="F11" s="20">
        <v>453960.00000000012</v>
      </c>
      <c r="G11" s="20">
        <v>215039.99999999991</v>
      </c>
      <c r="H11" s="20">
        <v>234039.99999999991</v>
      </c>
      <c r="I11" s="13">
        <f t="shared" si="0"/>
        <v>19000</v>
      </c>
      <c r="J11" s="14">
        <f t="shared" si="1"/>
        <v>8.8355654761904795E-2</v>
      </c>
    </row>
    <row r="12" spans="1:12" x14ac:dyDescent="0.25">
      <c r="A12" s="11" t="s">
        <v>17</v>
      </c>
      <c r="B12" s="12" t="s">
        <v>11</v>
      </c>
      <c r="C12" s="20">
        <v>524000</v>
      </c>
      <c r="D12" s="20">
        <v>523000</v>
      </c>
      <c r="E12" s="20">
        <v>356320</v>
      </c>
      <c r="F12" s="20">
        <v>349320</v>
      </c>
      <c r="G12" s="20">
        <v>167680</v>
      </c>
      <c r="H12" s="20">
        <v>173680</v>
      </c>
      <c r="I12" s="13">
        <f t="shared" si="0"/>
        <v>6000</v>
      </c>
      <c r="J12" s="14">
        <f t="shared" si="1"/>
        <v>3.57824427480916E-2</v>
      </c>
    </row>
    <row r="13" spans="1:12" x14ac:dyDescent="0.25">
      <c r="A13" s="11" t="s">
        <v>17</v>
      </c>
      <c r="B13" s="12" t="s">
        <v>12</v>
      </c>
      <c r="C13" s="20">
        <v>564000</v>
      </c>
      <c r="D13" s="20">
        <v>571000</v>
      </c>
      <c r="E13" s="20">
        <v>383520</v>
      </c>
      <c r="F13" s="20">
        <v>383520</v>
      </c>
      <c r="G13" s="20">
        <v>180480</v>
      </c>
      <c r="H13" s="20">
        <v>187480</v>
      </c>
      <c r="I13" s="13">
        <f t="shared" si="0"/>
        <v>7000</v>
      </c>
      <c r="J13" s="14">
        <f t="shared" si="1"/>
        <v>3.8785460992907798E-2</v>
      </c>
    </row>
    <row r="14" spans="1:12" x14ac:dyDescent="0.25">
      <c r="A14" s="11" t="s">
        <v>17</v>
      </c>
      <c r="B14" s="12" t="s">
        <v>13</v>
      </c>
      <c r="C14" s="20">
        <v>604000</v>
      </c>
      <c r="D14" s="20">
        <v>619000</v>
      </c>
      <c r="E14" s="20">
        <v>410720.00000000012</v>
      </c>
      <c r="F14" s="20">
        <v>417720.00000000012</v>
      </c>
      <c r="G14" s="20">
        <v>193279.99999999991</v>
      </c>
      <c r="H14" s="20">
        <v>201279.99999999991</v>
      </c>
      <c r="I14" s="13">
        <f t="shared" si="0"/>
        <v>8000</v>
      </c>
      <c r="J14" s="14">
        <f t="shared" si="1"/>
        <v>4.1390728476821209E-2</v>
      </c>
    </row>
    <row r="15" spans="1:12" x14ac:dyDescent="0.25">
      <c r="A15" s="11" t="s">
        <v>17</v>
      </c>
      <c r="B15" s="12" t="s">
        <v>14</v>
      </c>
      <c r="C15" s="20">
        <v>644000</v>
      </c>
      <c r="D15" s="20">
        <v>667000</v>
      </c>
      <c r="E15" s="20">
        <v>437920.00000000012</v>
      </c>
      <c r="F15" s="20">
        <v>430920.00000000012</v>
      </c>
      <c r="G15" s="20">
        <v>206079.99999999991</v>
      </c>
      <c r="H15" s="20">
        <v>236079.99999999991</v>
      </c>
      <c r="I15" s="13">
        <f t="shared" si="0"/>
        <v>30000</v>
      </c>
      <c r="J15" s="14">
        <f t="shared" si="1"/>
        <v>0.14557453416149074</v>
      </c>
    </row>
    <row r="16" spans="1:12" x14ac:dyDescent="0.25">
      <c r="A16" s="11" t="s">
        <v>17</v>
      </c>
      <c r="B16" s="12" t="s">
        <v>15</v>
      </c>
      <c r="C16" s="20">
        <v>684000</v>
      </c>
      <c r="D16" s="20">
        <v>715000</v>
      </c>
      <c r="E16" s="20">
        <v>465120.00000000012</v>
      </c>
      <c r="F16" s="20">
        <v>465120.00000000012</v>
      </c>
      <c r="G16" s="20">
        <v>218879.99999999991</v>
      </c>
      <c r="H16" s="20">
        <v>249879.99999999991</v>
      </c>
      <c r="I16" s="13">
        <f t="shared" si="0"/>
        <v>31000</v>
      </c>
      <c r="J16" s="14">
        <f t="shared" si="1"/>
        <v>0.14163011695906438</v>
      </c>
    </row>
    <row r="17" spans="1:10" x14ac:dyDescent="0.25">
      <c r="A17" s="11" t="s">
        <v>18</v>
      </c>
      <c r="B17" s="12" t="s">
        <v>11</v>
      </c>
      <c r="C17" s="20">
        <v>536000</v>
      </c>
      <c r="D17" s="20">
        <v>505000</v>
      </c>
      <c r="E17" s="20">
        <v>364480</v>
      </c>
      <c r="F17" s="20">
        <v>360480</v>
      </c>
      <c r="G17" s="20">
        <v>171520</v>
      </c>
      <c r="H17" s="20">
        <v>144520</v>
      </c>
      <c r="I17" s="13">
        <f t="shared" si="0"/>
        <v>-27000</v>
      </c>
      <c r="J17" s="14">
        <f t="shared" si="1"/>
        <v>-0.1574160447761194</v>
      </c>
    </row>
    <row r="18" spans="1:10" x14ac:dyDescent="0.25">
      <c r="A18" s="11" t="s">
        <v>18</v>
      </c>
      <c r="B18" s="12" t="s">
        <v>12</v>
      </c>
      <c r="C18" s="20">
        <v>576000</v>
      </c>
      <c r="D18" s="20">
        <v>553000</v>
      </c>
      <c r="E18" s="20">
        <v>391680</v>
      </c>
      <c r="F18" s="20">
        <v>394680</v>
      </c>
      <c r="G18" s="20">
        <v>184320</v>
      </c>
      <c r="H18" s="20">
        <v>158320</v>
      </c>
      <c r="I18" s="13">
        <f t="shared" si="0"/>
        <v>-26000</v>
      </c>
      <c r="J18" s="14">
        <f t="shared" si="1"/>
        <v>-0.14105902777777779</v>
      </c>
    </row>
    <row r="19" spans="1:10" x14ac:dyDescent="0.25">
      <c r="A19" s="11" t="s">
        <v>18</v>
      </c>
      <c r="B19" s="12" t="s">
        <v>13</v>
      </c>
      <c r="C19" s="20">
        <v>616000</v>
      </c>
      <c r="D19" s="20">
        <v>601000</v>
      </c>
      <c r="E19" s="20">
        <v>418880.00000000012</v>
      </c>
      <c r="F19" s="20">
        <v>428880.00000000012</v>
      </c>
      <c r="G19" s="20">
        <v>197119.99999999991</v>
      </c>
      <c r="H19" s="20">
        <v>172119.99999999991</v>
      </c>
      <c r="I19" s="13">
        <f t="shared" si="0"/>
        <v>-25000</v>
      </c>
      <c r="J19" s="14">
        <f t="shared" si="1"/>
        <v>-0.12682629870129875</v>
      </c>
    </row>
    <row r="20" spans="1:10" x14ac:dyDescent="0.25">
      <c r="A20" s="11" t="s">
        <v>18</v>
      </c>
      <c r="B20" s="12" t="s">
        <v>14</v>
      </c>
      <c r="C20" s="20">
        <v>656000</v>
      </c>
      <c r="D20" s="20">
        <v>649000</v>
      </c>
      <c r="E20" s="20">
        <v>446080.00000000012</v>
      </c>
      <c r="F20" s="20">
        <v>442080.00000000012</v>
      </c>
      <c r="G20" s="20">
        <v>209919.99999999991</v>
      </c>
      <c r="H20" s="20">
        <v>206919.99999999991</v>
      </c>
      <c r="I20" s="13">
        <f t="shared" si="0"/>
        <v>-3000</v>
      </c>
      <c r="J20" s="14">
        <f t="shared" si="1"/>
        <v>-1.4291158536585372E-2</v>
      </c>
    </row>
    <row r="21" spans="1:10" x14ac:dyDescent="0.25">
      <c r="A21" s="11" t="s">
        <v>18</v>
      </c>
      <c r="B21" s="12" t="s">
        <v>15</v>
      </c>
      <c r="C21" s="20">
        <v>696000</v>
      </c>
      <c r="D21" s="20">
        <v>697000</v>
      </c>
      <c r="E21" s="20">
        <v>473280.00000000012</v>
      </c>
      <c r="F21" s="20">
        <v>476280.00000000012</v>
      </c>
      <c r="G21" s="20">
        <v>222719.99999999991</v>
      </c>
      <c r="H21" s="20">
        <v>220719.99999999991</v>
      </c>
      <c r="I21" s="13">
        <f t="shared" si="0"/>
        <v>-2000</v>
      </c>
      <c r="J21" s="14">
        <f t="shared" si="1"/>
        <v>-8.9798850574712673E-3</v>
      </c>
    </row>
    <row r="22" spans="1:10" x14ac:dyDescent="0.25">
      <c r="A22" s="11" t="s">
        <v>19</v>
      </c>
      <c r="B22" s="12" t="s">
        <v>11</v>
      </c>
      <c r="C22" s="20">
        <v>548000</v>
      </c>
      <c r="D22" s="20">
        <v>532000</v>
      </c>
      <c r="E22" s="20">
        <v>372640</v>
      </c>
      <c r="F22" s="20">
        <v>359640</v>
      </c>
      <c r="G22" s="20">
        <v>175360</v>
      </c>
      <c r="H22" s="20">
        <v>172360</v>
      </c>
      <c r="I22" s="13">
        <f t="shared" si="0"/>
        <v>-3000</v>
      </c>
      <c r="J22" s="14">
        <f t="shared" si="1"/>
        <v>-1.7107664233576642E-2</v>
      </c>
    </row>
    <row r="23" spans="1:10" x14ac:dyDescent="0.25">
      <c r="A23" s="11" t="s">
        <v>19</v>
      </c>
      <c r="B23" s="12" t="s">
        <v>12</v>
      </c>
      <c r="C23" s="20">
        <v>588000</v>
      </c>
      <c r="D23" s="20">
        <v>580000</v>
      </c>
      <c r="E23" s="20">
        <v>399840</v>
      </c>
      <c r="F23" s="20">
        <v>393840</v>
      </c>
      <c r="G23" s="20">
        <v>188160</v>
      </c>
      <c r="H23" s="20">
        <v>186160</v>
      </c>
      <c r="I23" s="13">
        <f t="shared" si="0"/>
        <v>-2000</v>
      </c>
      <c r="J23" s="14">
        <f t="shared" si="1"/>
        <v>-1.0629251700680272E-2</v>
      </c>
    </row>
    <row r="24" spans="1:10" x14ac:dyDescent="0.25">
      <c r="A24" s="11" t="s">
        <v>19</v>
      </c>
      <c r="B24" s="12" t="s">
        <v>13</v>
      </c>
      <c r="C24" s="20">
        <v>628000</v>
      </c>
      <c r="D24" s="20">
        <v>628000</v>
      </c>
      <c r="E24" s="20">
        <v>427040.00000000012</v>
      </c>
      <c r="F24" s="20">
        <v>428040.00000000012</v>
      </c>
      <c r="G24" s="20">
        <v>200959.99999999991</v>
      </c>
      <c r="H24" s="20">
        <v>199959.99999999991</v>
      </c>
      <c r="I24" s="13">
        <f t="shared" si="0"/>
        <v>-1000</v>
      </c>
      <c r="J24" s="14">
        <f t="shared" si="1"/>
        <v>-4.976114649681531E-3</v>
      </c>
    </row>
    <row r="25" spans="1:10" x14ac:dyDescent="0.25">
      <c r="A25" s="11" t="s">
        <v>19</v>
      </c>
      <c r="B25" s="12" t="s">
        <v>14</v>
      </c>
      <c r="C25" s="20">
        <v>668000</v>
      </c>
      <c r="D25" s="20">
        <v>676000</v>
      </c>
      <c r="E25" s="20">
        <v>454240.00000000012</v>
      </c>
      <c r="F25" s="20">
        <v>441240.00000000012</v>
      </c>
      <c r="G25" s="20">
        <v>213759.99999999991</v>
      </c>
      <c r="H25" s="20">
        <v>234759.99999999991</v>
      </c>
      <c r="I25" s="13">
        <f t="shared" si="0"/>
        <v>21000</v>
      </c>
      <c r="J25" s="14">
        <f t="shared" si="1"/>
        <v>9.8241017964071892E-2</v>
      </c>
    </row>
    <row r="26" spans="1:10" x14ac:dyDescent="0.25">
      <c r="A26" s="11" t="s">
        <v>19</v>
      </c>
      <c r="B26" s="12" t="s">
        <v>15</v>
      </c>
      <c r="C26" s="20">
        <v>708000</v>
      </c>
      <c r="D26" s="20">
        <v>724000</v>
      </c>
      <c r="E26" s="20">
        <v>481440.00000000012</v>
      </c>
      <c r="F26" s="20">
        <v>475440.00000000012</v>
      </c>
      <c r="G26" s="20">
        <v>226559.99999999991</v>
      </c>
      <c r="H26" s="20">
        <v>248559.99999999991</v>
      </c>
      <c r="I26" s="13">
        <f t="shared" si="0"/>
        <v>22000</v>
      </c>
      <c r="J26" s="14">
        <f t="shared" si="1"/>
        <v>9.7104519774011341E-2</v>
      </c>
    </row>
    <row r="27" spans="1:10" x14ac:dyDescent="0.25">
      <c r="A27" s="11" t="s">
        <v>20</v>
      </c>
      <c r="B27" s="12" t="s">
        <v>11</v>
      </c>
      <c r="C27" s="20">
        <v>560000</v>
      </c>
      <c r="D27" s="20">
        <v>559000</v>
      </c>
      <c r="E27" s="20">
        <v>380800</v>
      </c>
      <c r="F27" s="20">
        <v>370800</v>
      </c>
      <c r="G27" s="20">
        <v>179200</v>
      </c>
      <c r="H27" s="20">
        <v>188200</v>
      </c>
      <c r="I27" s="13">
        <f t="shared" si="0"/>
        <v>9000</v>
      </c>
      <c r="J27" s="14">
        <f t="shared" si="1"/>
        <v>5.0223214285714288E-2</v>
      </c>
    </row>
    <row r="28" spans="1:10" x14ac:dyDescent="0.25">
      <c r="A28" s="11" t="s">
        <v>20</v>
      </c>
      <c r="B28" s="12" t="s">
        <v>12</v>
      </c>
      <c r="C28" s="20">
        <v>600000</v>
      </c>
      <c r="D28" s="20">
        <v>607000</v>
      </c>
      <c r="E28" s="20">
        <v>408000.00000000012</v>
      </c>
      <c r="F28" s="20">
        <v>405000.00000000012</v>
      </c>
      <c r="G28" s="20">
        <v>191999.99999999991</v>
      </c>
      <c r="H28" s="20">
        <v>201999.99999999991</v>
      </c>
      <c r="I28" s="13">
        <f t="shared" si="0"/>
        <v>10000</v>
      </c>
      <c r="J28" s="14">
        <f t="shared" si="1"/>
        <v>5.2083333333333356E-2</v>
      </c>
    </row>
    <row r="29" spans="1:10" x14ac:dyDescent="0.25">
      <c r="A29" s="11" t="s">
        <v>20</v>
      </c>
      <c r="B29" s="12" t="s">
        <v>13</v>
      </c>
      <c r="C29" s="20">
        <v>640000</v>
      </c>
      <c r="D29" s="20">
        <v>655000</v>
      </c>
      <c r="E29" s="20">
        <v>435200.00000000012</v>
      </c>
      <c r="F29" s="20">
        <v>439200.00000000012</v>
      </c>
      <c r="G29" s="20">
        <v>204799.99999999991</v>
      </c>
      <c r="H29" s="20">
        <v>215799.99999999991</v>
      </c>
      <c r="I29" s="13">
        <f t="shared" si="0"/>
        <v>11000</v>
      </c>
      <c r="J29" s="14">
        <f t="shared" si="1"/>
        <v>5.3710937500000021E-2</v>
      </c>
    </row>
    <row r="30" spans="1:10" x14ac:dyDescent="0.25">
      <c r="A30" s="11" t="s">
        <v>20</v>
      </c>
      <c r="B30" s="12" t="s">
        <v>14</v>
      </c>
      <c r="C30" s="20">
        <v>680000</v>
      </c>
      <c r="D30" s="20">
        <v>703000</v>
      </c>
      <c r="E30" s="20">
        <v>462400.00000000012</v>
      </c>
      <c r="F30" s="20">
        <v>452400.00000000012</v>
      </c>
      <c r="G30" s="20">
        <v>217599.99999999991</v>
      </c>
      <c r="H30" s="20">
        <v>250599.99999999991</v>
      </c>
      <c r="I30" s="13">
        <f t="shared" si="0"/>
        <v>33000</v>
      </c>
      <c r="J30" s="14">
        <f t="shared" si="1"/>
        <v>0.15165441176470595</v>
      </c>
    </row>
    <row r="31" spans="1:10" x14ac:dyDescent="0.25">
      <c r="A31" s="11" t="s">
        <v>20</v>
      </c>
      <c r="B31" s="12" t="s">
        <v>15</v>
      </c>
      <c r="C31" s="20">
        <v>720000</v>
      </c>
      <c r="D31" s="20">
        <v>751000</v>
      </c>
      <c r="E31" s="20">
        <v>489600.00000000012</v>
      </c>
      <c r="F31" s="20">
        <v>486600.00000000012</v>
      </c>
      <c r="G31" s="20">
        <v>230399.99999999991</v>
      </c>
      <c r="H31" s="20">
        <v>264399.99999999988</v>
      </c>
      <c r="I31" s="13">
        <f t="shared" si="0"/>
        <v>33999.999999999971</v>
      </c>
      <c r="J31" s="14">
        <f t="shared" si="1"/>
        <v>0.14756944444444436</v>
      </c>
    </row>
    <row r="32" spans="1:10" x14ac:dyDescent="0.25">
      <c r="A32" s="11" t="s">
        <v>21</v>
      </c>
      <c r="B32" s="12" t="s">
        <v>11</v>
      </c>
      <c r="C32" s="20">
        <v>572000</v>
      </c>
      <c r="D32" s="20">
        <v>541000</v>
      </c>
      <c r="E32" s="20">
        <v>388960</v>
      </c>
      <c r="F32" s="20">
        <v>381960</v>
      </c>
      <c r="G32" s="20">
        <v>183040</v>
      </c>
      <c r="H32" s="20">
        <v>159040</v>
      </c>
      <c r="I32" s="13">
        <f t="shared" si="0"/>
        <v>-24000</v>
      </c>
      <c r="J32" s="14">
        <f t="shared" si="1"/>
        <v>-0.13111888111888112</v>
      </c>
    </row>
    <row r="33" spans="1:10" x14ac:dyDescent="0.25">
      <c r="A33" s="11" t="s">
        <v>21</v>
      </c>
      <c r="B33" s="12" t="s">
        <v>12</v>
      </c>
      <c r="C33" s="20">
        <v>612000</v>
      </c>
      <c r="D33" s="20">
        <v>589000</v>
      </c>
      <c r="E33" s="20">
        <v>416160.00000000012</v>
      </c>
      <c r="F33" s="20">
        <v>416160.00000000012</v>
      </c>
      <c r="G33" s="20">
        <v>195839.99999999991</v>
      </c>
      <c r="H33" s="20">
        <v>172839.99999999991</v>
      </c>
      <c r="I33" s="13">
        <f t="shared" si="0"/>
        <v>-23000</v>
      </c>
      <c r="J33" s="14">
        <f t="shared" si="1"/>
        <v>-0.11744281045751639</v>
      </c>
    </row>
    <row r="34" spans="1:10" x14ac:dyDescent="0.25">
      <c r="A34" s="11" t="s">
        <v>21</v>
      </c>
      <c r="B34" s="12" t="s">
        <v>13</v>
      </c>
      <c r="C34" s="20">
        <v>652000</v>
      </c>
      <c r="D34" s="20">
        <v>637000</v>
      </c>
      <c r="E34" s="20">
        <v>443360.00000000012</v>
      </c>
      <c r="F34" s="20">
        <v>450360.00000000012</v>
      </c>
      <c r="G34" s="20">
        <v>208639.99999999991</v>
      </c>
      <c r="H34" s="20">
        <v>186639.99999999991</v>
      </c>
      <c r="I34" s="13">
        <f t="shared" si="0"/>
        <v>-22000</v>
      </c>
      <c r="J34" s="14">
        <f t="shared" si="1"/>
        <v>-0.10544478527607366</v>
      </c>
    </row>
    <row r="35" spans="1:10" x14ac:dyDescent="0.25">
      <c r="A35" s="11" t="s">
        <v>21</v>
      </c>
      <c r="B35" s="12" t="s">
        <v>14</v>
      </c>
      <c r="C35" s="20">
        <v>692000</v>
      </c>
      <c r="D35" s="20">
        <v>685000</v>
      </c>
      <c r="E35" s="20">
        <v>470560.00000000012</v>
      </c>
      <c r="F35" s="20">
        <v>463560.00000000012</v>
      </c>
      <c r="G35" s="20">
        <v>221439.99999999991</v>
      </c>
      <c r="H35" s="20">
        <v>221439.99999999991</v>
      </c>
      <c r="I35" s="13">
        <f t="shared" si="0"/>
        <v>0</v>
      </c>
      <c r="J35" s="14">
        <f t="shared" si="1"/>
        <v>0</v>
      </c>
    </row>
    <row r="36" spans="1:10" x14ac:dyDescent="0.25">
      <c r="A36" s="11" t="s">
        <v>21</v>
      </c>
      <c r="B36" s="12" t="s">
        <v>15</v>
      </c>
      <c r="C36" s="20">
        <v>732000</v>
      </c>
      <c r="D36" s="20">
        <v>733000</v>
      </c>
      <c r="E36" s="20">
        <v>497760.00000000012</v>
      </c>
      <c r="F36" s="20">
        <v>497760.00000000012</v>
      </c>
      <c r="G36" s="20">
        <v>234239.99999999991</v>
      </c>
      <c r="H36" s="20">
        <v>235239.99999999991</v>
      </c>
      <c r="I36" s="13">
        <f t="shared" si="0"/>
        <v>1000</v>
      </c>
      <c r="J36" s="14">
        <f t="shared" si="1"/>
        <v>4.2691256830601106E-3</v>
      </c>
    </row>
    <row r="37" spans="1:10" x14ac:dyDescent="0.25">
      <c r="A37" s="11" t="s">
        <v>22</v>
      </c>
      <c r="B37" s="12" t="s">
        <v>11</v>
      </c>
      <c r="C37" s="20">
        <v>584000</v>
      </c>
      <c r="D37" s="20">
        <v>568000</v>
      </c>
      <c r="E37" s="20">
        <v>397120</v>
      </c>
      <c r="F37" s="20">
        <v>393120</v>
      </c>
      <c r="G37" s="20">
        <v>186880</v>
      </c>
      <c r="H37" s="20">
        <v>174880</v>
      </c>
      <c r="I37" s="13">
        <f t="shared" si="0"/>
        <v>-12000</v>
      </c>
      <c r="J37" s="14">
        <f t="shared" si="1"/>
        <v>-6.4212328767123295E-2</v>
      </c>
    </row>
    <row r="38" spans="1:10" x14ac:dyDescent="0.25">
      <c r="A38" s="11" t="s">
        <v>22</v>
      </c>
      <c r="B38" s="12" t="s">
        <v>12</v>
      </c>
      <c r="C38" s="20">
        <v>624000</v>
      </c>
      <c r="D38" s="20">
        <v>616000</v>
      </c>
      <c r="E38" s="20">
        <v>424320.00000000012</v>
      </c>
      <c r="F38" s="20">
        <v>427320.00000000012</v>
      </c>
      <c r="G38" s="20">
        <v>199679.99999999991</v>
      </c>
      <c r="H38" s="20">
        <v>188679.99999999991</v>
      </c>
      <c r="I38" s="13">
        <f t="shared" si="0"/>
        <v>-11000</v>
      </c>
      <c r="J38" s="14">
        <f t="shared" si="1"/>
        <v>-5.5088141025641052E-2</v>
      </c>
    </row>
    <row r="39" spans="1:10" x14ac:dyDescent="0.25">
      <c r="A39" s="11" t="s">
        <v>22</v>
      </c>
      <c r="B39" s="12" t="s">
        <v>13</v>
      </c>
      <c r="C39" s="20">
        <v>664000</v>
      </c>
      <c r="D39" s="20">
        <v>664000</v>
      </c>
      <c r="E39" s="20">
        <v>451520.00000000012</v>
      </c>
      <c r="F39" s="20">
        <v>461520.00000000012</v>
      </c>
      <c r="G39" s="20">
        <v>212479.99999999991</v>
      </c>
      <c r="H39" s="20">
        <v>202479.99999999991</v>
      </c>
      <c r="I39" s="13">
        <f t="shared" si="0"/>
        <v>-10000</v>
      </c>
      <c r="J39" s="14">
        <f t="shared" si="1"/>
        <v>-4.7063253012048209E-2</v>
      </c>
    </row>
    <row r="40" spans="1:10" x14ac:dyDescent="0.25">
      <c r="A40" s="11" t="s">
        <v>22</v>
      </c>
      <c r="B40" s="12" t="s">
        <v>14</v>
      </c>
      <c r="C40" s="20">
        <v>704000</v>
      </c>
      <c r="D40" s="20">
        <v>712000</v>
      </c>
      <c r="E40" s="20">
        <v>478720.00000000012</v>
      </c>
      <c r="F40" s="20">
        <v>474720.00000000012</v>
      </c>
      <c r="G40" s="20">
        <v>225279.99999999991</v>
      </c>
      <c r="H40" s="20">
        <v>237279.99999999991</v>
      </c>
      <c r="I40" s="13">
        <f t="shared" si="0"/>
        <v>12000</v>
      </c>
      <c r="J40" s="14">
        <f t="shared" si="1"/>
        <v>5.3267045454545477E-2</v>
      </c>
    </row>
    <row r="41" spans="1:10" x14ac:dyDescent="0.25">
      <c r="A41" s="11" t="s">
        <v>22</v>
      </c>
      <c r="B41" s="12" t="s">
        <v>15</v>
      </c>
      <c r="C41" s="20">
        <v>744000</v>
      </c>
      <c r="D41" s="20">
        <v>760000</v>
      </c>
      <c r="E41" s="20">
        <v>505920.00000000012</v>
      </c>
      <c r="F41" s="20">
        <v>508920.00000000012</v>
      </c>
      <c r="G41" s="20">
        <v>238079.99999999991</v>
      </c>
      <c r="H41" s="20">
        <v>251079.99999999991</v>
      </c>
      <c r="I41" s="13">
        <f t="shared" si="0"/>
        <v>13000</v>
      </c>
      <c r="J41" s="14">
        <f t="shared" si="1"/>
        <v>5.4603494623655935E-2</v>
      </c>
    </row>
    <row r="42" spans="1:10" x14ac:dyDescent="0.25">
      <c r="A42" s="11" t="s">
        <v>23</v>
      </c>
      <c r="B42" s="12" t="s">
        <v>11</v>
      </c>
      <c r="C42" s="20">
        <v>596000</v>
      </c>
      <c r="D42" s="20">
        <v>595000</v>
      </c>
      <c r="E42" s="20">
        <v>405280.00000000012</v>
      </c>
      <c r="F42" s="20">
        <v>392280.00000000012</v>
      </c>
      <c r="G42" s="20">
        <v>190719.99999999991</v>
      </c>
      <c r="H42" s="20">
        <v>202719.99999999991</v>
      </c>
      <c r="I42" s="13">
        <f t="shared" si="0"/>
        <v>12000</v>
      </c>
      <c r="J42" s="14">
        <f t="shared" si="1"/>
        <v>6.2919463087248356E-2</v>
      </c>
    </row>
    <row r="43" spans="1:10" x14ac:dyDescent="0.25">
      <c r="A43" s="11" t="s">
        <v>23</v>
      </c>
      <c r="B43" s="12" t="s">
        <v>12</v>
      </c>
      <c r="C43" s="20">
        <v>636000</v>
      </c>
      <c r="D43" s="20">
        <v>643000</v>
      </c>
      <c r="E43" s="20">
        <v>432480.00000000012</v>
      </c>
      <c r="F43" s="20">
        <v>426480.00000000012</v>
      </c>
      <c r="G43" s="20">
        <v>203519.99999999991</v>
      </c>
      <c r="H43" s="20">
        <v>216519.99999999991</v>
      </c>
      <c r="I43" s="13">
        <f t="shared" si="0"/>
        <v>13000</v>
      </c>
      <c r="J43" s="14">
        <f t="shared" si="1"/>
        <v>6.3875786163522033E-2</v>
      </c>
    </row>
    <row r="44" spans="1:10" x14ac:dyDescent="0.25">
      <c r="A44" s="11" t="s">
        <v>23</v>
      </c>
      <c r="B44" s="12" t="s">
        <v>13</v>
      </c>
      <c r="C44" s="20">
        <v>676000</v>
      </c>
      <c r="D44" s="20">
        <v>691000</v>
      </c>
      <c r="E44" s="20">
        <v>459680.00000000012</v>
      </c>
      <c r="F44" s="20">
        <v>460680.00000000012</v>
      </c>
      <c r="G44" s="20">
        <v>216319.99999999991</v>
      </c>
      <c r="H44" s="20">
        <v>230319.99999999991</v>
      </c>
      <c r="I44" s="13">
        <f t="shared" si="0"/>
        <v>14000</v>
      </c>
      <c r="J44" s="14">
        <f t="shared" si="1"/>
        <v>6.4718934911242629E-2</v>
      </c>
    </row>
    <row r="45" spans="1:10" x14ac:dyDescent="0.25">
      <c r="A45" s="11" t="s">
        <v>23</v>
      </c>
      <c r="B45" s="12" t="s">
        <v>14</v>
      </c>
      <c r="C45" s="20">
        <v>716000</v>
      </c>
      <c r="D45" s="20">
        <v>739000</v>
      </c>
      <c r="E45" s="20">
        <v>486880.00000000012</v>
      </c>
      <c r="F45" s="20">
        <v>473880.00000000012</v>
      </c>
      <c r="G45" s="20">
        <v>229119.99999999991</v>
      </c>
      <c r="H45" s="20">
        <v>265119.99999999988</v>
      </c>
      <c r="I45" s="13">
        <f t="shared" si="0"/>
        <v>35999.999999999971</v>
      </c>
      <c r="J45" s="14">
        <f t="shared" si="1"/>
        <v>0.15712290502793289</v>
      </c>
    </row>
    <row r="46" spans="1:10" x14ac:dyDescent="0.25">
      <c r="A46" s="11" t="s">
        <v>23</v>
      </c>
      <c r="B46" s="12" t="s">
        <v>15</v>
      </c>
      <c r="C46" s="20">
        <v>756000</v>
      </c>
      <c r="D46" s="20">
        <v>787000</v>
      </c>
      <c r="E46" s="20">
        <v>514080.00000000012</v>
      </c>
      <c r="F46" s="20">
        <v>508080.00000000012</v>
      </c>
      <c r="G46" s="20">
        <v>241919.99999999991</v>
      </c>
      <c r="H46" s="20">
        <v>278919.99999999988</v>
      </c>
      <c r="I46" s="13">
        <f t="shared" si="0"/>
        <v>36999.999999999971</v>
      </c>
      <c r="J46" s="14">
        <f t="shared" si="1"/>
        <v>0.15294312169312163</v>
      </c>
    </row>
    <row r="47" spans="1:10" x14ac:dyDescent="0.25">
      <c r="A47" s="11" t="s">
        <v>24</v>
      </c>
      <c r="B47" s="12" t="s">
        <v>11</v>
      </c>
      <c r="C47" s="20">
        <v>608000</v>
      </c>
      <c r="D47" s="20">
        <v>577000</v>
      </c>
      <c r="E47" s="20">
        <v>413440.00000000012</v>
      </c>
      <c r="F47" s="20">
        <v>403440.00000000012</v>
      </c>
      <c r="G47" s="20">
        <v>194559.99999999991</v>
      </c>
      <c r="H47" s="20">
        <v>173559.99999999991</v>
      </c>
      <c r="I47" s="13">
        <f t="shared" si="0"/>
        <v>-21000</v>
      </c>
      <c r="J47" s="14">
        <f t="shared" si="1"/>
        <v>-0.10793585526315794</v>
      </c>
    </row>
    <row r="48" spans="1:10" x14ac:dyDescent="0.25">
      <c r="A48" s="11" t="s">
        <v>24</v>
      </c>
      <c r="B48" s="12" t="s">
        <v>12</v>
      </c>
      <c r="C48" s="20">
        <v>648000</v>
      </c>
      <c r="D48" s="20">
        <v>625000</v>
      </c>
      <c r="E48" s="20">
        <v>440640.00000000012</v>
      </c>
      <c r="F48" s="20">
        <v>437640.00000000012</v>
      </c>
      <c r="G48" s="20">
        <v>207359.99999999991</v>
      </c>
      <c r="H48" s="20">
        <v>187359.99999999991</v>
      </c>
      <c r="I48" s="13">
        <f t="shared" si="0"/>
        <v>-20000</v>
      </c>
      <c r="J48" s="14">
        <f t="shared" si="1"/>
        <v>-9.6450617283950657E-2</v>
      </c>
    </row>
    <row r="49" spans="1:10" x14ac:dyDescent="0.25">
      <c r="A49" s="11" t="s">
        <v>24</v>
      </c>
      <c r="B49" s="12" t="s">
        <v>13</v>
      </c>
      <c r="C49" s="20">
        <v>688000</v>
      </c>
      <c r="D49" s="20">
        <v>673000</v>
      </c>
      <c r="E49" s="20">
        <v>467840.00000000012</v>
      </c>
      <c r="F49" s="20">
        <v>471840.00000000012</v>
      </c>
      <c r="G49" s="20">
        <v>220159.99999999991</v>
      </c>
      <c r="H49" s="20">
        <v>201159.99999999991</v>
      </c>
      <c r="I49" s="13">
        <f t="shared" si="0"/>
        <v>-19000</v>
      </c>
      <c r="J49" s="14">
        <f t="shared" si="1"/>
        <v>-8.6300872093023284E-2</v>
      </c>
    </row>
    <row r="50" spans="1:10" x14ac:dyDescent="0.25">
      <c r="A50" s="11" t="s">
        <v>24</v>
      </c>
      <c r="B50" s="12" t="s">
        <v>14</v>
      </c>
      <c r="C50" s="20">
        <v>728000</v>
      </c>
      <c r="D50" s="20">
        <v>721000</v>
      </c>
      <c r="E50" s="20">
        <v>495040.00000000012</v>
      </c>
      <c r="F50" s="20">
        <v>485040.00000000012</v>
      </c>
      <c r="G50" s="20">
        <v>232959.99999999991</v>
      </c>
      <c r="H50" s="20">
        <v>235959.99999999991</v>
      </c>
      <c r="I50" s="13">
        <f t="shared" si="0"/>
        <v>3000</v>
      </c>
      <c r="J50" s="14">
        <f t="shared" si="1"/>
        <v>1.2877747252747257E-2</v>
      </c>
    </row>
    <row r="51" spans="1:10" x14ac:dyDescent="0.25">
      <c r="A51" s="11" t="s">
        <v>24</v>
      </c>
      <c r="B51" s="12" t="s">
        <v>15</v>
      </c>
      <c r="C51" s="20">
        <v>768000</v>
      </c>
      <c r="D51" s="20">
        <v>769000</v>
      </c>
      <c r="E51" s="20">
        <v>522240.00000000012</v>
      </c>
      <c r="F51" s="20">
        <v>519240.00000000012</v>
      </c>
      <c r="G51" s="20">
        <v>245759.99999999991</v>
      </c>
      <c r="H51" s="20">
        <v>249759.99999999991</v>
      </c>
      <c r="I51" s="13">
        <f t="shared" si="0"/>
        <v>4000</v>
      </c>
      <c r="J51" s="14">
        <f t="shared" si="1"/>
        <v>1.6276041666666671E-2</v>
      </c>
    </row>
    <row r="52" spans="1:10" x14ac:dyDescent="0.25">
      <c r="A52" s="11" t="s">
        <v>25</v>
      </c>
      <c r="B52" s="12" t="s">
        <v>11</v>
      </c>
      <c r="C52" s="20">
        <v>620000</v>
      </c>
      <c r="D52" s="20">
        <v>604000</v>
      </c>
      <c r="E52" s="20">
        <v>421600.00000000012</v>
      </c>
      <c r="F52" s="20">
        <v>414600.00000000012</v>
      </c>
      <c r="G52" s="20">
        <v>198399.99999999991</v>
      </c>
      <c r="H52" s="20">
        <v>189399.99999999991</v>
      </c>
      <c r="I52" s="13">
        <f t="shared" si="0"/>
        <v>-9000</v>
      </c>
      <c r="J52" s="14">
        <f t="shared" si="1"/>
        <v>-4.5362903225806474E-2</v>
      </c>
    </row>
    <row r="53" spans="1:10" x14ac:dyDescent="0.25">
      <c r="A53" s="11" t="s">
        <v>25</v>
      </c>
      <c r="B53" s="12" t="s">
        <v>12</v>
      </c>
      <c r="C53" s="20">
        <v>660000</v>
      </c>
      <c r="D53" s="20">
        <v>652000</v>
      </c>
      <c r="E53" s="20">
        <v>448800.00000000012</v>
      </c>
      <c r="F53" s="20">
        <v>448800.00000000012</v>
      </c>
      <c r="G53" s="20">
        <v>211199.99999999991</v>
      </c>
      <c r="H53" s="20">
        <v>203199.99999999991</v>
      </c>
      <c r="I53" s="13">
        <f t="shared" si="0"/>
        <v>-8000</v>
      </c>
      <c r="J53" s="14">
        <f t="shared" si="1"/>
        <v>-3.7878787878787894E-2</v>
      </c>
    </row>
    <row r="54" spans="1:10" x14ac:dyDescent="0.25">
      <c r="A54" s="11" t="s">
        <v>25</v>
      </c>
      <c r="B54" s="12" t="s">
        <v>13</v>
      </c>
      <c r="C54" s="20">
        <v>700000</v>
      </c>
      <c r="D54" s="20">
        <v>700000</v>
      </c>
      <c r="E54" s="20">
        <v>476000.00000000012</v>
      </c>
      <c r="F54" s="20">
        <v>483000.00000000012</v>
      </c>
      <c r="G54" s="20">
        <v>223999.99999999991</v>
      </c>
      <c r="H54" s="20">
        <v>216999.99999999991</v>
      </c>
      <c r="I54" s="13">
        <f t="shared" si="0"/>
        <v>-7000</v>
      </c>
      <c r="J54" s="14">
        <f t="shared" si="1"/>
        <v>-3.1250000000000014E-2</v>
      </c>
    </row>
    <row r="55" spans="1:10" x14ac:dyDescent="0.25">
      <c r="A55" s="11" t="s">
        <v>25</v>
      </c>
      <c r="B55" s="12" t="s">
        <v>14</v>
      </c>
      <c r="C55" s="20">
        <v>740000</v>
      </c>
      <c r="D55" s="20">
        <v>748000</v>
      </c>
      <c r="E55" s="20">
        <v>503200.00000000012</v>
      </c>
      <c r="F55" s="20">
        <v>496200.00000000012</v>
      </c>
      <c r="G55" s="20">
        <v>236799.99999999991</v>
      </c>
      <c r="H55" s="20">
        <v>251799.99999999991</v>
      </c>
      <c r="I55" s="13">
        <f t="shared" si="0"/>
        <v>15000</v>
      </c>
      <c r="J55" s="14">
        <f t="shared" si="1"/>
        <v>6.3344594594594614E-2</v>
      </c>
    </row>
    <row r="56" spans="1:10" x14ac:dyDescent="0.25">
      <c r="A56" s="11" t="s">
        <v>25</v>
      </c>
      <c r="B56" s="12" t="s">
        <v>15</v>
      </c>
      <c r="C56" s="20">
        <v>780000</v>
      </c>
      <c r="D56" s="20">
        <v>796000</v>
      </c>
      <c r="E56" s="20">
        <v>530400</v>
      </c>
      <c r="F56" s="20">
        <v>530400</v>
      </c>
      <c r="G56" s="20">
        <v>249600</v>
      </c>
      <c r="H56" s="20">
        <v>265600</v>
      </c>
      <c r="I56" s="13">
        <f t="shared" si="0"/>
        <v>16000</v>
      </c>
      <c r="J56" s="14">
        <f t="shared" si="1"/>
        <v>6.4102564102564097E-2</v>
      </c>
    </row>
    <row r="57" spans="1:10" x14ac:dyDescent="0.25">
      <c r="A57" s="11" t="s">
        <v>26</v>
      </c>
      <c r="B57" s="12" t="s">
        <v>11</v>
      </c>
      <c r="C57" s="20">
        <v>632000</v>
      </c>
      <c r="D57" s="20">
        <v>631000</v>
      </c>
      <c r="E57" s="20">
        <v>429760.00000000012</v>
      </c>
      <c r="F57" s="20">
        <v>425760.00000000012</v>
      </c>
      <c r="G57" s="20">
        <v>202239.99999999991</v>
      </c>
      <c r="H57" s="20">
        <v>205239.99999999991</v>
      </c>
      <c r="I57" s="13">
        <f t="shared" si="0"/>
        <v>3000</v>
      </c>
      <c r="J57" s="14">
        <f t="shared" si="1"/>
        <v>1.4833860759493677E-2</v>
      </c>
    </row>
    <row r="58" spans="1:10" x14ac:dyDescent="0.25">
      <c r="A58" s="11" t="s">
        <v>26</v>
      </c>
      <c r="B58" s="12" t="s">
        <v>12</v>
      </c>
      <c r="C58" s="20">
        <v>672000</v>
      </c>
      <c r="D58" s="20">
        <v>679000</v>
      </c>
      <c r="E58" s="20">
        <v>456960.00000000012</v>
      </c>
      <c r="F58" s="20">
        <v>459960.00000000012</v>
      </c>
      <c r="G58" s="20">
        <v>215039.99999999991</v>
      </c>
      <c r="H58" s="20">
        <v>219039.99999999991</v>
      </c>
      <c r="I58" s="13">
        <f t="shared" si="0"/>
        <v>4000</v>
      </c>
      <c r="J58" s="14">
        <f t="shared" si="1"/>
        <v>1.8601190476190483E-2</v>
      </c>
    </row>
    <row r="59" spans="1:10" x14ac:dyDescent="0.25">
      <c r="A59" s="11" t="s">
        <v>26</v>
      </c>
      <c r="B59" s="12" t="s">
        <v>13</v>
      </c>
      <c r="C59" s="20">
        <v>712000</v>
      </c>
      <c r="D59" s="20">
        <v>727000</v>
      </c>
      <c r="E59" s="20">
        <v>484160.00000000012</v>
      </c>
      <c r="F59" s="20">
        <v>494160.00000000012</v>
      </c>
      <c r="G59" s="20">
        <v>227839.99999999991</v>
      </c>
      <c r="H59" s="20">
        <v>232839.99999999991</v>
      </c>
      <c r="I59" s="13">
        <f t="shared" si="0"/>
        <v>5000</v>
      </c>
      <c r="J59" s="14">
        <f t="shared" si="1"/>
        <v>2.1945224719101132E-2</v>
      </c>
    </row>
    <row r="60" spans="1:10" x14ac:dyDescent="0.25">
      <c r="A60" s="11" t="s">
        <v>26</v>
      </c>
      <c r="B60" s="12" t="s">
        <v>14</v>
      </c>
      <c r="C60" s="20">
        <v>752000</v>
      </c>
      <c r="D60" s="20">
        <v>775000</v>
      </c>
      <c r="E60" s="20">
        <v>511360.00000000012</v>
      </c>
      <c r="F60" s="20">
        <v>507360.00000000012</v>
      </c>
      <c r="G60" s="20">
        <v>240639.99999999991</v>
      </c>
      <c r="H60" s="20">
        <v>267639.99999999988</v>
      </c>
      <c r="I60" s="13">
        <f t="shared" si="0"/>
        <v>26999.999999999971</v>
      </c>
      <c r="J60" s="14">
        <f t="shared" si="1"/>
        <v>0.11220079787234034</v>
      </c>
    </row>
    <row r="61" spans="1:10" x14ac:dyDescent="0.25">
      <c r="A61" s="11" t="s">
        <v>26</v>
      </c>
      <c r="B61" s="12" t="s">
        <v>15</v>
      </c>
      <c r="C61" s="20">
        <v>792000</v>
      </c>
      <c r="D61" s="20">
        <v>823000</v>
      </c>
      <c r="E61" s="20">
        <v>538560</v>
      </c>
      <c r="F61" s="20">
        <v>541560</v>
      </c>
      <c r="G61" s="20">
        <v>253440</v>
      </c>
      <c r="H61" s="20">
        <v>281440</v>
      </c>
      <c r="I61" s="13">
        <f t="shared" si="0"/>
        <v>28000</v>
      </c>
      <c r="J61" s="14">
        <f t="shared" si="1"/>
        <v>0.11047979797979798</v>
      </c>
    </row>
    <row r="62" spans="1:10" x14ac:dyDescent="0.25">
      <c r="A62" s="15" t="s">
        <v>28</v>
      </c>
      <c r="B62" s="15"/>
      <c r="C62" s="21">
        <f>SUM(C2:C61)</f>
        <v>38760000</v>
      </c>
      <c r="D62" s="21">
        <f t="shared" ref="D62:J62" si="2">SUM(D2:D61)</f>
        <v>38760000</v>
      </c>
      <c r="E62" s="21">
        <f t="shared" si="2"/>
        <v>26356800</v>
      </c>
      <c r="F62" s="21">
        <f t="shared" si="2"/>
        <v>26182800</v>
      </c>
      <c r="G62" s="21">
        <f t="shared" si="2"/>
        <v>12403200</v>
      </c>
      <c r="H62" s="21">
        <f t="shared" si="2"/>
        <v>12577200</v>
      </c>
      <c r="I62" s="16">
        <f t="shared" si="2"/>
        <v>173999.99999999988</v>
      </c>
      <c r="J62" s="17">
        <f t="shared" si="2"/>
        <v>0.55291322761744999</v>
      </c>
    </row>
  </sheetData>
  <autoFilter ref="A1:J1" xr:uid="{47302264-15F4-42D3-BCF0-7E32E99A7313}"/>
  <mergeCells count="1">
    <mergeCell ref="A62:B62"/>
  </mergeCells>
  <conditionalFormatting sqref="I1:I1048576">
    <cfRule type="dataBar" priority="2">
      <dataBar>
        <cfvo type="min"/>
        <cfvo type="max"/>
        <color rgb="FF63C384"/>
      </dataBar>
      <extLst>
        <ext xmlns:x14="http://schemas.microsoft.com/office/spreadsheetml/2009/9/main" uri="{B025F937-C7B1-47D3-B67F-A62EFF666E3E}">
          <x14:id>{EACF39BD-9931-49F5-B6EE-8ACF3D062F6B}</x14:id>
        </ext>
      </extLst>
    </cfRule>
    <cfRule type="dataBar" priority="1">
      <dataBar showValue="0">
        <cfvo type="min"/>
        <cfvo type="max"/>
        <color theme="6" tint="-0.499984740745262"/>
      </dataBar>
      <extLst>
        <ext xmlns:x14="http://schemas.microsoft.com/office/spreadsheetml/2009/9/main" uri="{B025F937-C7B1-47D3-B67F-A62EFF666E3E}">
          <x14:id>{DE9A2D64-EF5C-42FA-8EFF-700AE403E19E}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ACF39BD-9931-49F5-B6EE-8ACF3D062F6B}">
            <x14:dataBar minLength="0" maxLength="100" gradient="0">
              <x14:cfvo type="autoMin"/>
              <x14:cfvo type="autoMax"/>
              <x14:negativeFillColor rgb="FFFF0000"/>
              <x14:axisColor rgb="FF000000"/>
            </x14:dataBar>
          </x14:cfRule>
          <x14:cfRule type="dataBar" id="{DE9A2D64-EF5C-42FA-8EFF-700AE403E19E}">
            <x14:dataBar minLength="0" maxLength="100" gradient="0">
              <x14:cfvo type="autoMin"/>
              <x14:cfvo type="autoMax"/>
              <x14:negativeFillColor rgb="FFFF0000"/>
              <x14:axisColor rgb="FF000000"/>
            </x14:dataBar>
          </x14:cfRule>
          <xm:sqref>I1:I1048576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C367-2294-4D8D-9C5A-C5326D548CAF}">
  <dimension ref="A3:K26"/>
  <sheetViews>
    <sheetView topLeftCell="A10" workbookViewId="0">
      <selection activeCell="H19" sqref="H19"/>
    </sheetView>
  </sheetViews>
  <sheetFormatPr defaultRowHeight="15" x14ac:dyDescent="0.25"/>
  <cols>
    <col min="1" max="1" width="13.42578125" bestFit="1" customWidth="1"/>
    <col min="2" max="2" width="22.85546875" bestFit="1" customWidth="1"/>
    <col min="3" max="3" width="22.140625" bestFit="1" customWidth="1"/>
    <col min="5" max="5" width="21.140625" bestFit="1" customWidth="1"/>
    <col min="6" max="6" width="16.85546875" bestFit="1" customWidth="1"/>
    <col min="7" max="7" width="7" bestFit="1" customWidth="1"/>
    <col min="8" max="8" width="9.85546875" bestFit="1" customWidth="1"/>
    <col min="9" max="9" width="11" bestFit="1" customWidth="1"/>
    <col min="10" max="10" width="6.7109375" bestFit="1" customWidth="1"/>
    <col min="11" max="12" width="11.28515625" bestFit="1" customWidth="1"/>
  </cols>
  <sheetData>
    <row r="3" spans="1:11" x14ac:dyDescent="0.25">
      <c r="A3" s="2" t="s">
        <v>27</v>
      </c>
      <c r="B3" t="s">
        <v>29</v>
      </c>
      <c r="C3" t="s">
        <v>30</v>
      </c>
      <c r="E3" s="2" t="s">
        <v>36</v>
      </c>
      <c r="F3" s="2" t="s">
        <v>35</v>
      </c>
    </row>
    <row r="4" spans="1:11" x14ac:dyDescent="0.25">
      <c r="A4" s="3" t="s">
        <v>15</v>
      </c>
      <c r="B4" s="18">
        <v>8712000</v>
      </c>
      <c r="C4" s="18">
        <v>8904000</v>
      </c>
      <c r="E4" s="2" t="s">
        <v>27</v>
      </c>
      <c r="F4" t="s">
        <v>15</v>
      </c>
      <c r="G4" t="s">
        <v>14</v>
      </c>
      <c r="H4" t="s">
        <v>12</v>
      </c>
      <c r="I4" t="s">
        <v>13</v>
      </c>
      <c r="J4" t="s">
        <v>11</v>
      </c>
      <c r="K4" t="s">
        <v>28</v>
      </c>
    </row>
    <row r="5" spans="1:11" x14ac:dyDescent="0.25">
      <c r="A5" s="3" t="s">
        <v>14</v>
      </c>
      <c r="B5" s="18">
        <v>8232000</v>
      </c>
      <c r="C5" s="18">
        <v>8328000</v>
      </c>
      <c r="E5" s="3" t="s">
        <v>10</v>
      </c>
      <c r="F5" s="18">
        <v>7000</v>
      </c>
      <c r="G5" s="18">
        <v>6000</v>
      </c>
      <c r="H5" s="18">
        <v>-17000</v>
      </c>
      <c r="I5" s="18">
        <v>-16000</v>
      </c>
      <c r="J5" s="18">
        <v>-18000</v>
      </c>
      <c r="K5" s="18">
        <v>-38000</v>
      </c>
    </row>
    <row r="6" spans="1:11" x14ac:dyDescent="0.25">
      <c r="A6" s="3" t="s">
        <v>12</v>
      </c>
      <c r="B6" s="18">
        <v>7272000</v>
      </c>
      <c r="C6" s="18">
        <v>7176000</v>
      </c>
      <c r="E6" s="3" t="s">
        <v>16</v>
      </c>
      <c r="F6" s="18">
        <v>19000</v>
      </c>
      <c r="G6" s="18">
        <v>18000</v>
      </c>
      <c r="H6" s="18">
        <v>-5000</v>
      </c>
      <c r="I6" s="18">
        <v>-4000</v>
      </c>
      <c r="J6" s="18">
        <v>-6000</v>
      </c>
      <c r="K6" s="18">
        <v>22000</v>
      </c>
    </row>
    <row r="7" spans="1:11" x14ac:dyDescent="0.25">
      <c r="A7" s="3" t="s">
        <v>13</v>
      </c>
      <c r="B7" s="18">
        <v>7752000</v>
      </c>
      <c r="C7" s="18">
        <v>7752000</v>
      </c>
      <c r="E7" s="3" t="s">
        <v>17</v>
      </c>
      <c r="F7" s="18">
        <v>31000</v>
      </c>
      <c r="G7" s="18">
        <v>30000</v>
      </c>
      <c r="H7" s="18">
        <v>7000</v>
      </c>
      <c r="I7" s="18">
        <v>8000</v>
      </c>
      <c r="J7" s="18">
        <v>6000</v>
      </c>
      <c r="K7" s="18">
        <v>82000</v>
      </c>
    </row>
    <row r="8" spans="1:11" x14ac:dyDescent="0.25">
      <c r="A8" s="3" t="s">
        <v>11</v>
      </c>
      <c r="B8" s="18">
        <v>6792000</v>
      </c>
      <c r="C8" s="18">
        <v>6600000</v>
      </c>
      <c r="E8" s="3" t="s">
        <v>18</v>
      </c>
      <c r="F8" s="18">
        <v>-2000</v>
      </c>
      <c r="G8" s="18">
        <v>-3000</v>
      </c>
      <c r="H8" s="18">
        <v>-26000</v>
      </c>
      <c r="I8" s="18">
        <v>-25000</v>
      </c>
      <c r="J8" s="18">
        <v>-27000</v>
      </c>
      <c r="K8" s="18">
        <v>-83000</v>
      </c>
    </row>
    <row r="9" spans="1:11" x14ac:dyDescent="0.25">
      <c r="A9" s="3" t="s">
        <v>28</v>
      </c>
      <c r="B9" s="18">
        <v>38760000</v>
      </c>
      <c r="C9" s="18">
        <v>38760000</v>
      </c>
      <c r="E9" s="3" t="s">
        <v>19</v>
      </c>
      <c r="F9" s="18">
        <v>22000</v>
      </c>
      <c r="G9" s="18">
        <v>21000</v>
      </c>
      <c r="H9" s="18">
        <v>-2000</v>
      </c>
      <c r="I9" s="18">
        <v>-1000</v>
      </c>
      <c r="J9" s="18">
        <v>-3000</v>
      </c>
      <c r="K9" s="18">
        <v>37000</v>
      </c>
    </row>
    <row r="10" spans="1:11" x14ac:dyDescent="0.25">
      <c r="E10" s="3" t="s">
        <v>20</v>
      </c>
      <c r="F10" s="18">
        <v>34000</v>
      </c>
      <c r="G10" s="18">
        <v>33000</v>
      </c>
      <c r="H10" s="18">
        <v>10000</v>
      </c>
      <c r="I10" s="18">
        <v>11000</v>
      </c>
      <c r="J10" s="18">
        <v>9000</v>
      </c>
      <c r="K10" s="18">
        <v>97000</v>
      </c>
    </row>
    <row r="11" spans="1:11" x14ac:dyDescent="0.25">
      <c r="A11" s="2" t="s">
        <v>27</v>
      </c>
      <c r="B11" t="s">
        <v>31</v>
      </c>
      <c r="C11" t="s">
        <v>32</v>
      </c>
      <c r="E11" s="3" t="s">
        <v>21</v>
      </c>
      <c r="F11" s="18">
        <v>1000</v>
      </c>
      <c r="G11" s="18">
        <v>0</v>
      </c>
      <c r="H11" s="18">
        <v>-23000</v>
      </c>
      <c r="I11" s="18">
        <v>-22000</v>
      </c>
      <c r="J11" s="18">
        <v>-24000</v>
      </c>
      <c r="K11" s="18">
        <v>-68000</v>
      </c>
    </row>
    <row r="12" spans="1:11" x14ac:dyDescent="0.25">
      <c r="A12" s="3" t="s">
        <v>15</v>
      </c>
      <c r="B12" s="18">
        <v>5924160.0000000009</v>
      </c>
      <c r="C12" s="18">
        <v>5906160.0000000009</v>
      </c>
      <c r="E12" s="3" t="s">
        <v>22</v>
      </c>
      <c r="F12" s="18">
        <v>13000</v>
      </c>
      <c r="G12" s="18">
        <v>12000</v>
      </c>
      <c r="H12" s="18">
        <v>-11000</v>
      </c>
      <c r="I12" s="18">
        <v>-10000</v>
      </c>
      <c r="J12" s="18">
        <v>-12000</v>
      </c>
      <c r="K12" s="18">
        <v>-8000</v>
      </c>
    </row>
    <row r="13" spans="1:11" x14ac:dyDescent="0.25">
      <c r="A13" s="3" t="s">
        <v>14</v>
      </c>
      <c r="B13" s="18">
        <v>5597760.0000000009</v>
      </c>
      <c r="C13" s="18">
        <v>5495760.0000000009</v>
      </c>
      <c r="E13" s="3" t="s">
        <v>23</v>
      </c>
      <c r="F13" s="18">
        <v>37000</v>
      </c>
      <c r="G13" s="18">
        <v>36000</v>
      </c>
      <c r="H13" s="18">
        <v>13000</v>
      </c>
      <c r="I13" s="18">
        <v>14000</v>
      </c>
      <c r="J13" s="18">
        <v>12000</v>
      </c>
      <c r="K13" s="18">
        <v>112000</v>
      </c>
    </row>
    <row r="14" spans="1:11" x14ac:dyDescent="0.25">
      <c r="A14" s="3" t="s">
        <v>12</v>
      </c>
      <c r="B14" s="18">
        <v>4944960</v>
      </c>
      <c r="C14" s="18">
        <v>4926960</v>
      </c>
      <c r="E14" s="3" t="s">
        <v>24</v>
      </c>
      <c r="F14" s="18">
        <v>4000</v>
      </c>
      <c r="G14" s="18">
        <v>3000</v>
      </c>
      <c r="H14" s="18">
        <v>-20000</v>
      </c>
      <c r="I14" s="18">
        <v>-19000</v>
      </c>
      <c r="J14" s="18">
        <v>-21000</v>
      </c>
      <c r="K14" s="18">
        <v>-53000</v>
      </c>
    </row>
    <row r="15" spans="1:11" x14ac:dyDescent="0.25">
      <c r="A15" s="3" t="s">
        <v>13</v>
      </c>
      <c r="B15" s="18">
        <v>5271360</v>
      </c>
      <c r="C15" s="18">
        <v>5337360</v>
      </c>
      <c r="E15" s="3" t="s">
        <v>25</v>
      </c>
      <c r="F15" s="18">
        <v>16000</v>
      </c>
      <c r="G15" s="18">
        <v>15000</v>
      </c>
      <c r="H15" s="18">
        <v>-8000</v>
      </c>
      <c r="I15" s="18">
        <v>-7000</v>
      </c>
      <c r="J15" s="18">
        <v>-9000</v>
      </c>
      <c r="K15" s="18">
        <v>7000</v>
      </c>
    </row>
    <row r="16" spans="1:11" x14ac:dyDescent="0.25">
      <c r="A16" s="3" t="s">
        <v>11</v>
      </c>
      <c r="B16" s="18">
        <v>4618560</v>
      </c>
      <c r="C16" s="18">
        <v>4516560</v>
      </c>
      <c r="E16" s="3" t="s">
        <v>26</v>
      </c>
      <c r="F16" s="18">
        <v>28000</v>
      </c>
      <c r="G16" s="18">
        <v>27000</v>
      </c>
      <c r="H16" s="18">
        <v>4000</v>
      </c>
      <c r="I16" s="18">
        <v>5000</v>
      </c>
      <c r="J16" s="18">
        <v>3000</v>
      </c>
      <c r="K16" s="18">
        <v>67000</v>
      </c>
    </row>
    <row r="17" spans="1:11" x14ac:dyDescent="0.25">
      <c r="A17" s="3" t="s">
        <v>28</v>
      </c>
      <c r="B17" s="18">
        <v>26356800</v>
      </c>
      <c r="C17" s="18">
        <v>26182800</v>
      </c>
      <c r="E17" s="3" t="s">
        <v>28</v>
      </c>
      <c r="F17" s="18">
        <v>210000</v>
      </c>
      <c r="G17" s="18">
        <v>198000</v>
      </c>
      <c r="H17" s="18">
        <v>-78000</v>
      </c>
      <c r="I17" s="18">
        <v>-66000</v>
      </c>
      <c r="J17" s="18">
        <v>-90000</v>
      </c>
      <c r="K17" s="18">
        <v>174000</v>
      </c>
    </row>
    <row r="20" spans="1:11" x14ac:dyDescent="0.25">
      <c r="A20" s="2" t="s">
        <v>27</v>
      </c>
      <c r="B20" t="s">
        <v>33</v>
      </c>
      <c r="C20" t="s">
        <v>34</v>
      </c>
      <c r="E20" s="2" t="s">
        <v>27</v>
      </c>
      <c r="F20" s="4" t="s">
        <v>37</v>
      </c>
    </row>
    <row r="21" spans="1:11" x14ac:dyDescent="0.25">
      <c r="A21" s="3" t="s">
        <v>15</v>
      </c>
      <c r="B21" s="18">
        <v>2787839.9999999995</v>
      </c>
      <c r="C21" s="18">
        <v>2997839.9999999995</v>
      </c>
      <c r="E21" s="3" t="s">
        <v>15</v>
      </c>
      <c r="F21" s="18">
        <v>0.90149793602475958</v>
      </c>
    </row>
    <row r="22" spans="1:11" x14ac:dyDescent="0.25">
      <c r="A22" s="3" t="s">
        <v>14</v>
      </c>
      <c r="B22" s="18">
        <v>2634239.9999999995</v>
      </c>
      <c r="C22" s="18">
        <v>2832239.9999999995</v>
      </c>
      <c r="E22" s="3" t="s">
        <v>14</v>
      </c>
      <c r="F22" s="18">
        <v>0.89923699559667691</v>
      </c>
    </row>
    <row r="23" spans="1:11" x14ac:dyDescent="0.25">
      <c r="A23" s="3" t="s">
        <v>12</v>
      </c>
      <c r="B23" s="18">
        <v>2327040</v>
      </c>
      <c r="C23" s="18">
        <v>2249040</v>
      </c>
      <c r="E23" s="3" t="s">
        <v>12</v>
      </c>
      <c r="F23" s="18">
        <v>-0.41188865420831999</v>
      </c>
    </row>
    <row r="24" spans="1:11" x14ac:dyDescent="0.25">
      <c r="A24" s="3" t="s">
        <v>13</v>
      </c>
      <c r="B24" s="18">
        <v>2480639.9999999995</v>
      </c>
      <c r="C24" s="18">
        <v>2414639.9999999995</v>
      </c>
      <c r="E24" s="3" t="s">
        <v>13</v>
      </c>
      <c r="F24" s="18">
        <v>-0.32741725954154938</v>
      </c>
    </row>
    <row r="25" spans="1:11" x14ac:dyDescent="0.25">
      <c r="A25" s="3" t="s">
        <v>11</v>
      </c>
      <c r="B25" s="18">
        <v>2173440</v>
      </c>
      <c r="C25" s="18">
        <v>2083440</v>
      </c>
      <c r="E25" s="3" t="s">
        <v>11</v>
      </c>
      <c r="F25" s="18">
        <v>-0.50851579025411686</v>
      </c>
    </row>
    <row r="26" spans="1:11" x14ac:dyDescent="0.25">
      <c r="A26" s="3" t="s">
        <v>28</v>
      </c>
      <c r="B26" s="18">
        <v>12403199.999999998</v>
      </c>
      <c r="C26" s="18">
        <v>12577199.999999998</v>
      </c>
      <c r="E26" s="3" t="s">
        <v>28</v>
      </c>
      <c r="F26" s="18">
        <v>0.55291322761745021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9501-ED8D-4C03-A211-CC757E44F911}">
  <dimension ref="A1:AA52"/>
  <sheetViews>
    <sheetView topLeftCell="B9" zoomScale="124" zoomScaleNormal="124" workbookViewId="0">
      <selection activeCell="A9" sqref="A9:AA52"/>
    </sheetView>
  </sheetViews>
  <sheetFormatPr defaultRowHeight="15" x14ac:dyDescent="0.25"/>
  <sheetData>
    <row r="1" spans="1:27" ht="15" customHeight="1" x14ac:dyDescent="0.25">
      <c r="A1" s="7" t="s">
        <v>38</v>
      </c>
      <c r="B1" s="7"/>
      <c r="C1" s="7"/>
      <c r="D1" s="7"/>
      <c r="E1" s="7"/>
      <c r="F1" s="7"/>
      <c r="G1" s="7"/>
      <c r="H1" s="7"/>
      <c r="I1" s="7"/>
      <c r="J1" s="7"/>
      <c r="K1" s="7"/>
      <c r="L1" s="7"/>
      <c r="M1" s="7"/>
      <c r="N1" s="7"/>
      <c r="O1" s="7"/>
      <c r="P1" s="7"/>
      <c r="Q1" s="7"/>
      <c r="R1" s="7"/>
      <c r="S1" s="7"/>
      <c r="T1" s="7"/>
      <c r="U1" s="7"/>
      <c r="V1" s="7"/>
      <c r="W1" s="7"/>
      <c r="X1" s="7"/>
      <c r="Y1" s="7"/>
      <c r="Z1" s="7"/>
      <c r="AA1" s="7"/>
    </row>
    <row r="2" spans="1:27" ht="15" customHeight="1" x14ac:dyDescent="0.25">
      <c r="A2" s="7"/>
      <c r="B2" s="7"/>
      <c r="C2" s="7"/>
      <c r="D2" s="7"/>
      <c r="E2" s="7"/>
      <c r="F2" s="7"/>
      <c r="G2" s="7"/>
      <c r="H2" s="7"/>
      <c r="I2" s="7"/>
      <c r="J2" s="7"/>
      <c r="K2" s="7"/>
      <c r="L2" s="7"/>
      <c r="M2" s="7"/>
      <c r="N2" s="7"/>
      <c r="O2" s="7"/>
      <c r="P2" s="7"/>
      <c r="Q2" s="7"/>
      <c r="R2" s="7"/>
      <c r="S2" s="7"/>
      <c r="T2" s="7"/>
      <c r="U2" s="7"/>
      <c r="V2" s="7"/>
      <c r="W2" s="7"/>
      <c r="X2" s="7"/>
      <c r="Y2" s="7"/>
      <c r="Z2" s="7"/>
      <c r="AA2" s="7"/>
    </row>
    <row r="3" spans="1:27" ht="15" customHeight="1" x14ac:dyDescent="0.25">
      <c r="A3" s="7"/>
      <c r="B3" s="7"/>
      <c r="C3" s="7"/>
      <c r="D3" s="7"/>
      <c r="E3" s="7"/>
      <c r="F3" s="7"/>
      <c r="G3" s="7"/>
      <c r="H3" s="7"/>
      <c r="I3" s="7"/>
      <c r="J3" s="7"/>
      <c r="K3" s="7"/>
      <c r="L3" s="7"/>
      <c r="M3" s="7"/>
      <c r="N3" s="7"/>
      <c r="O3" s="7"/>
      <c r="P3" s="7"/>
      <c r="Q3" s="7"/>
      <c r="R3" s="7"/>
      <c r="S3" s="7"/>
      <c r="T3" s="7"/>
      <c r="U3" s="7"/>
      <c r="V3" s="7"/>
      <c r="W3" s="7"/>
      <c r="X3" s="7"/>
      <c r="Y3" s="7"/>
      <c r="Z3" s="7"/>
      <c r="AA3" s="7"/>
    </row>
    <row r="4" spans="1:27" ht="15" customHeight="1"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7" ht="15" customHeight="1" x14ac:dyDescent="0.25">
      <c r="A5" s="7"/>
      <c r="B5" s="7"/>
      <c r="C5" s="7"/>
      <c r="D5" s="7"/>
      <c r="E5" s="7"/>
      <c r="F5" s="7"/>
      <c r="G5" s="7"/>
      <c r="H5" s="7"/>
      <c r="I5" s="7"/>
      <c r="J5" s="7"/>
      <c r="K5" s="7"/>
      <c r="L5" s="7"/>
      <c r="M5" s="7"/>
      <c r="N5" s="7"/>
      <c r="O5" s="7"/>
      <c r="P5" s="7"/>
      <c r="Q5" s="7"/>
      <c r="R5" s="7"/>
      <c r="S5" s="7"/>
      <c r="T5" s="7"/>
      <c r="U5" s="7"/>
      <c r="V5" s="7"/>
      <c r="W5" s="7"/>
      <c r="X5" s="7"/>
      <c r="Y5" s="7"/>
      <c r="Z5" s="7"/>
      <c r="AA5" s="7"/>
    </row>
    <row r="6" spans="1:27" ht="15" customHeight="1" x14ac:dyDescent="0.25">
      <c r="A6" s="7"/>
      <c r="B6" s="7"/>
      <c r="C6" s="7"/>
      <c r="D6" s="7"/>
      <c r="E6" s="7"/>
      <c r="F6" s="7"/>
      <c r="G6" s="7"/>
      <c r="H6" s="7"/>
      <c r="I6" s="7"/>
      <c r="J6" s="7"/>
      <c r="K6" s="7"/>
      <c r="L6" s="7"/>
      <c r="M6" s="7"/>
      <c r="N6" s="7"/>
      <c r="O6" s="7"/>
      <c r="P6" s="7"/>
      <c r="Q6" s="7"/>
      <c r="R6" s="7"/>
      <c r="S6" s="7"/>
      <c r="T6" s="7"/>
      <c r="U6" s="7"/>
      <c r="V6" s="7"/>
      <c r="W6" s="7"/>
      <c r="X6" s="7"/>
      <c r="Y6" s="7"/>
      <c r="Z6" s="7"/>
      <c r="AA6" s="7"/>
    </row>
    <row r="7" spans="1:27" ht="15" customHeight="1" x14ac:dyDescent="0.25">
      <c r="A7" s="7"/>
      <c r="B7" s="7"/>
      <c r="C7" s="7"/>
      <c r="D7" s="7"/>
      <c r="E7" s="7"/>
      <c r="F7" s="7"/>
      <c r="G7" s="7"/>
      <c r="H7" s="7"/>
      <c r="I7" s="7"/>
      <c r="J7" s="7"/>
      <c r="K7" s="7"/>
      <c r="L7" s="7"/>
      <c r="M7" s="7"/>
      <c r="N7" s="7"/>
      <c r="O7" s="7"/>
      <c r="P7" s="7"/>
      <c r="Q7" s="7"/>
      <c r="R7" s="7"/>
      <c r="S7" s="7"/>
      <c r="T7" s="7"/>
      <c r="U7" s="7"/>
      <c r="V7" s="7"/>
      <c r="W7" s="7"/>
      <c r="X7" s="7"/>
      <c r="Y7" s="7"/>
      <c r="Z7" s="7"/>
      <c r="AA7" s="7"/>
    </row>
    <row r="8" spans="1:27" ht="15" customHeight="1" x14ac:dyDescent="0.2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5">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row>
  </sheetData>
  <mergeCells count="2">
    <mergeCell ref="A9:AA52"/>
    <mergeCell ref="A1:AA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divyashreeshinde27@gmail.com</dc:creator>
  <cp:lastModifiedBy>divyashreeshinde27@gmail.com</cp:lastModifiedBy>
  <dcterms:created xsi:type="dcterms:W3CDTF">2026-06-20T12:11:59Z</dcterms:created>
  <dcterms:modified xsi:type="dcterms:W3CDTF">2026-06-20T13:59:11Z</dcterms:modified>
</cp:coreProperties>
</file>